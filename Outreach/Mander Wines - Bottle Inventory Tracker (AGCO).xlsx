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Ledger" sheetId="1" state="visible" r:id="rId1"/>
    <sheet xmlns:r="http://schemas.openxmlformats.org/officeDocument/2006/relationships" name="Usage Detail" sheetId="2" state="visible" r:id="rId2"/>
    <sheet xmlns:r="http://schemas.openxmlformats.org/officeDocument/2006/relationships" name="Tastings &amp; Promotions" sheetId="3" state="visible" r:id="rId3"/>
    <sheet xmlns:r="http://schemas.openxmlformats.org/officeDocument/2006/relationships" name="Gifts" sheetId="4" state="visible" r:id="rId4"/>
    <sheet xmlns:r="http://schemas.openxmlformats.org/officeDocument/2006/relationships" name="Category 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365D"/>
      <sz val="14"/>
    </font>
    <font>
      <b val="1"/>
      <color rgb="00FFFFFF"/>
      <sz val="11"/>
    </font>
    <font>
      <i val="1"/>
      <color rgb="00666666"/>
      <sz val="10"/>
    </font>
    <font>
      <b val="1"/>
    </font>
    <font>
      <b val="1"/>
      <color rgb="001B365D"/>
    </font>
    <font>
      <i val="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8" customWidth="1" min="4" max="4"/>
    <col width="12" customWidth="1" min="5" max="5"/>
    <col width="16" customWidth="1" min="6" max="6"/>
    <col width="16" customWidth="1" min="7" max="7"/>
  </cols>
  <sheetData>
    <row r="1" ht="22" customHeight="1">
      <c r="A1" s="1" t="inlineStr">
        <is>
          <t>Mander Wines — 2024 Pinot Noir Inventory Ledger (AGCO Reporting)</t>
        </is>
      </c>
    </row>
    <row r="3" ht="36" customHeight="1">
      <c r="A3" s="2" t="inlineStr">
        <is>
          <t>Date</t>
        </is>
      </c>
      <c r="B3" s="2" t="inlineStr">
        <is>
          <t>Description</t>
        </is>
      </c>
      <c r="C3" s="2" t="inlineStr">
        <is>
          <t>Type</t>
        </is>
      </c>
      <c r="D3" s="2" t="inlineStr">
        <is>
          <t>Amount In/Out (Bottles)</t>
        </is>
      </c>
      <c r="E3" s="2" t="inlineStr">
        <is>
          <t>Litres</t>
        </is>
      </c>
      <c r="F3" s="2" t="inlineStr">
        <is>
          <t>Running Total (Bottles)</t>
        </is>
      </c>
      <c r="G3" s="2" t="inlineStr">
        <is>
          <t>Running Total (Litres)</t>
        </is>
      </c>
    </row>
    <row r="4">
      <c r="A4" s="3" t="inlineStr">
        <is>
          <t>2026-02-28</t>
        </is>
      </c>
      <c r="B4" s="4" t="inlineStr">
        <is>
          <t>Excise Tax - Bottled in 88 Cases</t>
        </is>
      </c>
      <c r="C4" s="3" t="inlineStr">
        <is>
          <t>Production</t>
        </is>
      </c>
      <c r="D4" s="3" t="n">
        <v>1056</v>
      </c>
      <c r="E4" s="3">
        <f>IF(D4="","",D4*0.75)</f>
        <v/>
      </c>
      <c r="F4" s="3">
        <f>IF(D4="","",D4)</f>
        <v/>
      </c>
      <c r="G4" s="3">
        <f>IF(D4="","",D4*0.75)</f>
        <v/>
      </c>
    </row>
    <row r="5">
      <c r="A5" s="3" t="inlineStr">
        <is>
          <t>2026-04-15</t>
        </is>
      </c>
      <c r="B5" s="4" t="inlineStr">
        <is>
          <t>Tasting - Lailey Winery</t>
        </is>
      </c>
      <c r="C5" s="3" t="inlineStr">
        <is>
          <t>Tasting</t>
        </is>
      </c>
      <c r="D5" s="3" t="n">
        <v>-1</v>
      </c>
      <c r="E5" s="3">
        <f>IF(D5="","",D5*0.75)</f>
        <v/>
      </c>
      <c r="F5" s="3">
        <f>IF(D5="","",F4+D5)</f>
        <v/>
      </c>
      <c r="G5" s="3">
        <f>IF(D5="","",G4+D5*0.75)</f>
        <v/>
      </c>
    </row>
    <row r="6">
      <c r="A6" s="3" t="n"/>
      <c r="B6" s="4" t="n"/>
      <c r="C6" s="3" t="n"/>
      <c r="D6" s="3" t="n"/>
      <c r="E6" s="3">
        <f>IF(D6="","",D6*0.75)</f>
        <v/>
      </c>
      <c r="F6" s="3">
        <f>IF(D6="","",F5+D6)</f>
        <v/>
      </c>
      <c r="G6" s="3">
        <f>IF(D6="","",G5+D6*0.75)</f>
        <v/>
      </c>
    </row>
    <row r="7">
      <c r="A7" s="3" t="n"/>
      <c r="B7" s="4" t="n"/>
      <c r="C7" s="3" t="n"/>
      <c r="D7" s="3" t="n"/>
      <c r="E7" s="3">
        <f>IF(D7="","",D7*0.75)</f>
        <v/>
      </c>
      <c r="F7" s="3">
        <f>IF(D7="","",F6+D7)</f>
        <v/>
      </c>
      <c r="G7" s="3">
        <f>IF(D7="","",G6+D7*0.75)</f>
        <v/>
      </c>
    </row>
    <row r="8">
      <c r="A8" s="3" t="n"/>
      <c r="B8" s="4" t="n"/>
      <c r="C8" s="3" t="n"/>
      <c r="D8" s="3" t="n"/>
      <c r="E8" s="3">
        <f>IF(D8="","",D8*0.75)</f>
        <v/>
      </c>
      <c r="F8" s="3">
        <f>IF(D8="","",F7+D8)</f>
        <v/>
      </c>
      <c r="G8" s="3">
        <f>IF(D8="","",G7+D8*0.75)</f>
        <v/>
      </c>
    </row>
    <row r="9">
      <c r="A9" s="3" t="n"/>
      <c r="B9" s="4" t="n"/>
      <c r="C9" s="3" t="n"/>
      <c r="D9" s="3" t="n"/>
      <c r="E9" s="3">
        <f>IF(D9="","",D9*0.75)</f>
        <v/>
      </c>
      <c r="F9" s="3">
        <f>IF(D9="","",F8+D9)</f>
        <v/>
      </c>
      <c r="G9" s="3">
        <f>IF(D9="","",G8+D9*0.75)</f>
        <v/>
      </c>
    </row>
    <row r="10">
      <c r="A10" s="3" t="n"/>
      <c r="B10" s="4" t="n"/>
      <c r="C10" s="3" t="n"/>
      <c r="D10" s="3" t="n"/>
      <c r="E10" s="3">
        <f>IF(D10="","",D10*0.75)</f>
        <v/>
      </c>
      <c r="F10" s="3">
        <f>IF(D10="","",F9+D10)</f>
        <v/>
      </c>
      <c r="G10" s="3">
        <f>IF(D10="","",G9+D10*0.75)</f>
        <v/>
      </c>
    </row>
    <row r="11">
      <c r="A11" s="3" t="n"/>
      <c r="B11" s="4" t="n"/>
      <c r="C11" s="3" t="n"/>
      <c r="D11" s="3" t="n"/>
      <c r="E11" s="3">
        <f>IF(D11="","",D11*0.75)</f>
        <v/>
      </c>
      <c r="F11" s="3">
        <f>IF(D11="","",F10+D11)</f>
        <v/>
      </c>
      <c r="G11" s="3">
        <f>IF(D11="","",G10+D11*0.75)</f>
        <v/>
      </c>
    </row>
    <row r="12">
      <c r="A12" s="3" t="n"/>
      <c r="B12" s="4" t="n"/>
      <c r="C12" s="3" t="n"/>
      <c r="D12" s="3" t="n"/>
      <c r="E12" s="3">
        <f>IF(D12="","",D12*0.75)</f>
        <v/>
      </c>
      <c r="F12" s="3">
        <f>IF(D12="","",F11+D12)</f>
        <v/>
      </c>
      <c r="G12" s="3">
        <f>IF(D12="","",G11+D12*0.75)</f>
        <v/>
      </c>
    </row>
    <row r="13">
      <c r="A13" s="3" t="n"/>
      <c r="B13" s="4" t="n"/>
      <c r="C13" s="3" t="n"/>
      <c r="D13" s="3" t="n"/>
      <c r="E13" s="3">
        <f>IF(D13="","",D13*0.75)</f>
        <v/>
      </c>
      <c r="F13" s="3">
        <f>IF(D13="","",F12+D13)</f>
        <v/>
      </c>
      <c r="G13" s="3">
        <f>IF(D13="","",G12+D13*0.75)</f>
        <v/>
      </c>
    </row>
    <row r="14">
      <c r="A14" s="3" t="n"/>
      <c r="B14" s="4" t="n"/>
      <c r="C14" s="3" t="n"/>
      <c r="D14" s="3" t="n"/>
      <c r="E14" s="3">
        <f>IF(D14="","",D14*0.75)</f>
        <v/>
      </c>
      <c r="F14" s="3">
        <f>IF(D14="","",F13+D14)</f>
        <v/>
      </c>
      <c r="G14" s="3">
        <f>IF(D14="","",G13+D14*0.75)</f>
        <v/>
      </c>
    </row>
    <row r="15">
      <c r="A15" s="3" t="n"/>
      <c r="B15" s="4" t="n"/>
      <c r="C15" s="3" t="n"/>
      <c r="D15" s="3" t="n"/>
      <c r="E15" s="3">
        <f>IF(D15="","",D15*0.75)</f>
        <v/>
      </c>
      <c r="F15" s="3">
        <f>IF(D15="","",F14+D15)</f>
        <v/>
      </c>
      <c r="G15" s="3">
        <f>IF(D15="","",G14+D15*0.75)</f>
        <v/>
      </c>
    </row>
    <row r="16">
      <c r="A16" s="3" t="n"/>
      <c r="B16" s="4" t="n"/>
      <c r="C16" s="3" t="n"/>
      <c r="D16" s="3" t="n"/>
      <c r="E16" s="3">
        <f>IF(D16="","",D16*0.75)</f>
        <v/>
      </c>
      <c r="F16" s="3">
        <f>IF(D16="","",F15+D16)</f>
        <v/>
      </c>
      <c r="G16" s="3">
        <f>IF(D16="","",G15+D16*0.75)</f>
        <v/>
      </c>
    </row>
    <row r="17">
      <c r="A17" s="3" t="n"/>
      <c r="B17" s="4" t="n"/>
      <c r="C17" s="3" t="n"/>
      <c r="D17" s="3" t="n"/>
      <c r="E17" s="3">
        <f>IF(D17="","",D17*0.75)</f>
        <v/>
      </c>
      <c r="F17" s="3">
        <f>IF(D17="","",F16+D17)</f>
        <v/>
      </c>
      <c r="G17" s="3">
        <f>IF(D17="","",G16+D17*0.75)</f>
        <v/>
      </c>
    </row>
    <row r="18">
      <c r="A18" s="3" t="n"/>
      <c r="B18" s="4" t="n"/>
      <c r="C18" s="3" t="n"/>
      <c r="D18" s="3" t="n"/>
      <c r="E18" s="3">
        <f>IF(D18="","",D18*0.75)</f>
        <v/>
      </c>
      <c r="F18" s="3">
        <f>IF(D18="","",F17+D18)</f>
        <v/>
      </c>
      <c r="G18" s="3">
        <f>IF(D18="","",G17+D18*0.75)</f>
        <v/>
      </c>
    </row>
    <row r="19">
      <c r="A19" s="3" t="n"/>
      <c r="B19" s="4" t="n"/>
      <c r="C19" s="3" t="n"/>
      <c r="D19" s="3" t="n"/>
      <c r="E19" s="3">
        <f>IF(D19="","",D19*0.75)</f>
        <v/>
      </c>
      <c r="F19" s="3">
        <f>IF(D19="","",F18+D19)</f>
        <v/>
      </c>
      <c r="G19" s="3">
        <f>IF(D19="","",G18+D19*0.75)</f>
        <v/>
      </c>
    </row>
    <row r="20">
      <c r="A20" s="3" t="n"/>
      <c r="B20" s="4" t="n"/>
      <c r="C20" s="3" t="n"/>
      <c r="D20" s="3" t="n"/>
      <c r="E20" s="3">
        <f>IF(D20="","",D20*0.75)</f>
        <v/>
      </c>
      <c r="F20" s="3">
        <f>IF(D20="","",F19+D20)</f>
        <v/>
      </c>
      <c r="G20" s="3">
        <f>IF(D20="","",G19+D20*0.75)</f>
        <v/>
      </c>
    </row>
    <row r="21">
      <c r="A21" s="3" t="n"/>
      <c r="B21" s="4" t="n"/>
      <c r="C21" s="3" t="n"/>
      <c r="D21" s="3" t="n"/>
      <c r="E21" s="3">
        <f>IF(D21="","",D21*0.75)</f>
        <v/>
      </c>
      <c r="F21" s="3">
        <f>IF(D21="","",F20+D21)</f>
        <v/>
      </c>
      <c r="G21" s="3">
        <f>IF(D21="","",G20+D21*0.75)</f>
        <v/>
      </c>
    </row>
    <row r="22">
      <c r="A22" s="3" t="n"/>
      <c r="B22" s="4" t="n"/>
      <c r="C22" s="3" t="n"/>
      <c r="D22" s="3" t="n"/>
      <c r="E22" s="3">
        <f>IF(D22="","",D22*0.75)</f>
        <v/>
      </c>
      <c r="F22" s="3">
        <f>IF(D22="","",F21+D22)</f>
        <v/>
      </c>
      <c r="G22" s="3">
        <f>IF(D22="","",G21+D22*0.75)</f>
        <v/>
      </c>
    </row>
    <row r="23">
      <c r="A23" s="3" t="n"/>
      <c r="B23" s="4" t="n"/>
      <c r="C23" s="3" t="n"/>
      <c r="D23" s="3" t="n"/>
      <c r="E23" s="3">
        <f>IF(D23="","",D23*0.75)</f>
        <v/>
      </c>
      <c r="F23" s="3">
        <f>IF(D23="","",F22+D23)</f>
        <v/>
      </c>
      <c r="G23" s="3">
        <f>IF(D23="","",G22+D23*0.75)</f>
        <v/>
      </c>
    </row>
    <row r="24">
      <c r="A24" s="3" t="n"/>
      <c r="B24" s="4" t="n"/>
      <c r="C24" s="3" t="n"/>
      <c r="D24" s="3" t="n"/>
      <c r="E24" s="3">
        <f>IF(D24="","",D24*0.75)</f>
        <v/>
      </c>
      <c r="F24" s="3">
        <f>IF(D24="","",F23+D24)</f>
        <v/>
      </c>
      <c r="G24" s="3">
        <f>IF(D24="","",G23+D24*0.75)</f>
        <v/>
      </c>
    </row>
    <row r="25">
      <c r="A25" s="3" t="n"/>
      <c r="B25" s="4" t="n"/>
      <c r="C25" s="3" t="n"/>
      <c r="D25" s="3" t="n"/>
      <c r="E25" s="3">
        <f>IF(D25="","",D25*0.75)</f>
        <v/>
      </c>
      <c r="F25" s="3">
        <f>IF(D25="","",F24+D25)</f>
        <v/>
      </c>
      <c r="G25" s="3">
        <f>IF(D25="","",G24+D25*0.75)</f>
        <v/>
      </c>
    </row>
    <row r="26">
      <c r="A26" s="3" t="n"/>
      <c r="B26" s="4" t="n"/>
      <c r="C26" s="3" t="n"/>
      <c r="D26" s="3" t="n"/>
      <c r="E26" s="3">
        <f>IF(D26="","",D26*0.75)</f>
        <v/>
      </c>
      <c r="F26" s="3">
        <f>IF(D26="","",F25+D26)</f>
        <v/>
      </c>
      <c r="G26" s="3">
        <f>IF(D26="","",G25+D26*0.75)</f>
        <v/>
      </c>
    </row>
    <row r="27">
      <c r="A27" s="3" t="n"/>
      <c r="B27" s="4" t="n"/>
      <c r="C27" s="3" t="n"/>
      <c r="D27" s="3" t="n"/>
      <c r="E27" s="3">
        <f>IF(D27="","",D27*0.75)</f>
        <v/>
      </c>
      <c r="F27" s="3">
        <f>IF(D27="","",F26+D27)</f>
        <v/>
      </c>
      <c r="G27" s="3">
        <f>IF(D27="","",G26+D27*0.75)</f>
        <v/>
      </c>
    </row>
    <row r="28">
      <c r="A28" s="3" t="n"/>
      <c r="B28" s="4" t="n"/>
      <c r="C28" s="3" t="n"/>
      <c r="D28" s="3" t="n"/>
      <c r="E28" s="3">
        <f>IF(D28="","",D28*0.75)</f>
        <v/>
      </c>
      <c r="F28" s="3">
        <f>IF(D28="","",F27+D28)</f>
        <v/>
      </c>
      <c r="G28" s="3">
        <f>IF(D28="","",G27+D28*0.75)</f>
        <v/>
      </c>
    </row>
    <row r="29">
      <c r="A29" s="3" t="n"/>
      <c r="B29" s="4" t="n"/>
      <c r="C29" s="3" t="n"/>
      <c r="D29" s="3" t="n"/>
      <c r="E29" s="3">
        <f>IF(D29="","",D29*0.75)</f>
        <v/>
      </c>
      <c r="F29" s="3">
        <f>IF(D29="","",F28+D29)</f>
        <v/>
      </c>
      <c r="G29" s="3">
        <f>IF(D29="","",G28+D29*0.75)</f>
        <v/>
      </c>
    </row>
    <row r="30">
      <c r="A30" s="3" t="n"/>
      <c r="B30" s="4" t="n"/>
      <c r="C30" s="3" t="n"/>
      <c r="D30" s="3" t="n"/>
      <c r="E30" s="3">
        <f>IF(D30="","",D30*0.75)</f>
        <v/>
      </c>
      <c r="F30" s="3">
        <f>IF(D30="","",F29+D30)</f>
        <v/>
      </c>
      <c r="G30" s="3">
        <f>IF(D30="","",G29+D30*0.75)</f>
        <v/>
      </c>
    </row>
    <row r="31">
      <c r="A31" s="3" t="n"/>
      <c r="B31" s="4" t="n"/>
      <c r="C31" s="3" t="n"/>
      <c r="D31" s="3" t="n"/>
      <c r="E31" s="3">
        <f>IF(D31="","",D31*0.75)</f>
        <v/>
      </c>
      <c r="F31" s="3">
        <f>IF(D31="","",F30+D31)</f>
        <v/>
      </c>
      <c r="G31" s="3">
        <f>IF(D31="","",G30+D31*0.75)</f>
        <v/>
      </c>
    </row>
    <row r="32">
      <c r="A32" s="3" t="n"/>
      <c r="B32" s="4" t="n"/>
      <c r="C32" s="3" t="n"/>
      <c r="D32" s="3" t="n"/>
      <c r="E32" s="3">
        <f>IF(D32="","",D32*0.75)</f>
        <v/>
      </c>
      <c r="F32" s="3">
        <f>IF(D32="","",F31+D32)</f>
        <v/>
      </c>
      <c r="G32" s="3">
        <f>IF(D32="","",G31+D32*0.75)</f>
        <v/>
      </c>
    </row>
    <row r="33">
      <c r="A33" s="3" t="n"/>
      <c r="B33" s="4" t="n"/>
      <c r="C33" s="3" t="n"/>
      <c r="D33" s="3" t="n"/>
      <c r="E33" s="3">
        <f>IF(D33="","",D33*0.75)</f>
        <v/>
      </c>
      <c r="F33" s="3">
        <f>IF(D33="","",F32+D33)</f>
        <v/>
      </c>
      <c r="G33" s="3">
        <f>IF(D33="","",G32+D33*0.75)</f>
        <v/>
      </c>
    </row>
    <row r="34">
      <c r="A34" s="3" t="n"/>
      <c r="B34" s="4" t="n"/>
      <c r="C34" s="3" t="n"/>
      <c r="D34" s="3" t="n"/>
      <c r="E34" s="3">
        <f>IF(D34="","",D34*0.75)</f>
        <v/>
      </c>
      <c r="F34" s="3">
        <f>IF(D34="","",F33+D34)</f>
        <v/>
      </c>
      <c r="G34" s="3">
        <f>IF(D34="","",G33+D34*0.75)</f>
        <v/>
      </c>
    </row>
    <row r="35">
      <c r="A35" s="3" t="n"/>
      <c r="B35" s="4" t="n"/>
      <c r="C35" s="3" t="n"/>
      <c r="D35" s="3" t="n"/>
      <c r="E35" s="3">
        <f>IF(D35="","",D35*0.75)</f>
        <v/>
      </c>
      <c r="F35" s="3">
        <f>IF(D35="","",F34+D35)</f>
        <v/>
      </c>
      <c r="G35" s="3">
        <f>IF(D35="","",G34+D35*0.75)</f>
        <v/>
      </c>
    </row>
    <row r="36">
      <c r="A36" s="3" t="n"/>
      <c r="B36" s="4" t="n"/>
      <c r="C36" s="3" t="n"/>
      <c r="D36" s="3" t="n"/>
      <c r="E36" s="3">
        <f>IF(D36="","",D36*0.75)</f>
        <v/>
      </c>
      <c r="F36" s="3">
        <f>IF(D36="","",F35+D36)</f>
        <v/>
      </c>
      <c r="G36" s="3">
        <f>IF(D36="","",G35+D36*0.75)</f>
        <v/>
      </c>
    </row>
    <row r="37">
      <c r="A37" s="3" t="n"/>
      <c r="B37" s="4" t="n"/>
      <c r="C37" s="3" t="n"/>
      <c r="D37" s="3" t="n"/>
      <c r="E37" s="3">
        <f>IF(D37="","",D37*0.75)</f>
        <v/>
      </c>
      <c r="F37" s="3">
        <f>IF(D37="","",F36+D37)</f>
        <v/>
      </c>
      <c r="G37" s="3">
        <f>IF(D37="","",G36+D37*0.75)</f>
        <v/>
      </c>
    </row>
    <row r="38">
      <c r="A38" s="3" t="n"/>
      <c r="B38" s="4" t="n"/>
      <c r="C38" s="3" t="n"/>
      <c r="D38" s="3" t="n"/>
      <c r="E38" s="3">
        <f>IF(D38="","",D38*0.75)</f>
        <v/>
      </c>
      <c r="F38" s="3">
        <f>IF(D38="","",F37+D38)</f>
        <v/>
      </c>
      <c r="G38" s="3">
        <f>IF(D38="","",G37+D38*0.75)</f>
        <v/>
      </c>
    </row>
    <row r="39">
      <c r="A39" s="3" t="n"/>
      <c r="B39" s="4" t="n"/>
      <c r="C39" s="3" t="n"/>
      <c r="D39" s="3" t="n"/>
      <c r="E39" s="3">
        <f>IF(D39="","",D39*0.75)</f>
        <v/>
      </c>
      <c r="F39" s="3">
        <f>IF(D39="","",F38+D39)</f>
        <v/>
      </c>
      <c r="G39" s="3">
        <f>IF(D39="","",G38+D39*0.75)</f>
        <v/>
      </c>
    </row>
    <row r="40">
      <c r="A40" s="3" t="n"/>
      <c r="B40" s="4" t="n"/>
      <c r="C40" s="3" t="n"/>
      <c r="D40" s="3" t="n"/>
      <c r="E40" s="3">
        <f>IF(D40="","",D40*0.75)</f>
        <v/>
      </c>
      <c r="F40" s="3">
        <f>IF(D40="","",F39+D40)</f>
        <v/>
      </c>
      <c r="G40" s="3">
        <f>IF(D40="","",G39+D40*0.75)</f>
        <v/>
      </c>
    </row>
    <row r="41">
      <c r="A41" s="3" t="n"/>
      <c r="B41" s="4" t="n"/>
      <c r="C41" s="3" t="n"/>
      <c r="D41" s="3" t="n"/>
      <c r="E41" s="3">
        <f>IF(D41="","",D41*0.75)</f>
        <v/>
      </c>
      <c r="F41" s="3">
        <f>IF(D41="","",F40+D41)</f>
        <v/>
      </c>
      <c r="G41" s="3">
        <f>IF(D41="","",G40+D41*0.75)</f>
        <v/>
      </c>
    </row>
    <row r="42">
      <c r="A42" s="3" t="n"/>
      <c r="B42" s="4" t="n"/>
      <c r="C42" s="3" t="n"/>
      <c r="D42" s="3" t="n"/>
      <c r="E42" s="3">
        <f>IF(D42="","",D42*0.75)</f>
        <v/>
      </c>
      <c r="F42" s="3">
        <f>IF(D42="","",F41+D42)</f>
        <v/>
      </c>
      <c r="G42" s="3">
        <f>IF(D42="","",G41+D42*0.75)</f>
        <v/>
      </c>
    </row>
    <row r="43">
      <c r="A43" s="3" t="n"/>
      <c r="B43" s="4" t="n"/>
      <c r="C43" s="3" t="n"/>
      <c r="D43" s="3" t="n"/>
      <c r="E43" s="3">
        <f>IF(D43="","",D43*0.75)</f>
        <v/>
      </c>
      <c r="F43" s="3">
        <f>IF(D43="","",F42+D43)</f>
        <v/>
      </c>
      <c r="G43" s="3">
        <f>IF(D43="","",G42+D43*0.75)</f>
        <v/>
      </c>
    </row>
    <row r="44">
      <c r="A44" s="3" t="n"/>
      <c r="B44" s="4" t="n"/>
      <c r="C44" s="3" t="n"/>
      <c r="D44" s="3" t="n"/>
      <c r="E44" s="3">
        <f>IF(D44="","",D44*0.75)</f>
        <v/>
      </c>
      <c r="F44" s="3">
        <f>IF(D44="","",F43+D44)</f>
        <v/>
      </c>
      <c r="G44" s="3">
        <f>IF(D44="","",G43+D44*0.75)</f>
        <v/>
      </c>
    </row>
    <row r="45">
      <c r="A45" s="3" t="n"/>
      <c r="B45" s="4" t="n"/>
      <c r="C45" s="3" t="n"/>
      <c r="D45" s="3" t="n"/>
      <c r="E45" s="3">
        <f>IF(D45="","",D45*0.75)</f>
        <v/>
      </c>
      <c r="F45" s="3">
        <f>IF(D45="","",F44+D45)</f>
        <v/>
      </c>
      <c r="G45" s="3">
        <f>IF(D45="","",G44+D45*0.75)</f>
        <v/>
      </c>
    </row>
    <row r="46">
      <c r="A46" s="3" t="n"/>
      <c r="B46" s="4" t="n"/>
      <c r="C46" s="3" t="n"/>
      <c r="D46" s="3" t="n"/>
      <c r="E46" s="3">
        <f>IF(D46="","",D46*0.75)</f>
        <v/>
      </c>
      <c r="F46" s="3">
        <f>IF(D46="","",F45+D46)</f>
        <v/>
      </c>
      <c r="G46" s="3">
        <f>IF(D46="","",G45+D46*0.75)</f>
        <v/>
      </c>
    </row>
    <row r="47">
      <c r="A47" s="3" t="n"/>
      <c r="B47" s="4" t="n"/>
      <c r="C47" s="3" t="n"/>
      <c r="D47" s="3" t="n"/>
      <c r="E47" s="3">
        <f>IF(D47="","",D47*0.75)</f>
        <v/>
      </c>
      <c r="F47" s="3">
        <f>IF(D47="","",F46+D47)</f>
        <v/>
      </c>
      <c r="G47" s="3">
        <f>IF(D47="","",G46+D47*0.75)</f>
        <v/>
      </c>
    </row>
    <row r="48">
      <c r="A48" s="3" t="n"/>
      <c r="B48" s="4" t="n"/>
      <c r="C48" s="3" t="n"/>
      <c r="D48" s="3" t="n"/>
      <c r="E48" s="3">
        <f>IF(D48="","",D48*0.75)</f>
        <v/>
      </c>
      <c r="F48" s="3">
        <f>IF(D48="","",F47+D48)</f>
        <v/>
      </c>
      <c r="G48" s="3">
        <f>IF(D48="","",G47+D48*0.75)</f>
        <v/>
      </c>
    </row>
    <row r="49">
      <c r="A49" s="3" t="n"/>
      <c r="B49" s="4" t="n"/>
      <c r="C49" s="3" t="n"/>
      <c r="D49" s="3" t="n"/>
      <c r="E49" s="3">
        <f>IF(D49="","",D49*0.75)</f>
        <v/>
      </c>
      <c r="F49" s="3">
        <f>IF(D49="","",F48+D49)</f>
        <v/>
      </c>
      <c r="G49" s="3">
        <f>IF(D49="","",G48+D49*0.75)</f>
        <v/>
      </c>
    </row>
    <row r="50">
      <c r="A50" s="3" t="n"/>
      <c r="B50" s="4" t="n"/>
      <c r="C50" s="3" t="n"/>
      <c r="D50" s="3" t="n"/>
      <c r="E50" s="3">
        <f>IF(D50="","",D50*0.75)</f>
        <v/>
      </c>
      <c r="F50" s="3">
        <f>IF(D50="","",F49+D50)</f>
        <v/>
      </c>
      <c r="G50" s="3">
        <f>IF(D50="","",G49+D50*0.75)</f>
        <v/>
      </c>
    </row>
    <row r="51">
      <c r="A51" s="3" t="n"/>
      <c r="B51" s="4" t="n"/>
      <c r="C51" s="3" t="n"/>
      <c r="D51" s="3" t="n"/>
      <c r="E51" s="3">
        <f>IF(D51="","",D51*0.75)</f>
        <v/>
      </c>
      <c r="F51" s="3">
        <f>IF(D51="","",F50+D51)</f>
        <v/>
      </c>
      <c r="G51" s="3">
        <f>IF(D51="","",G50+D51*0.75)</f>
        <v/>
      </c>
    </row>
    <row r="52">
      <c r="A52" s="3" t="n"/>
      <c r="B52" s="4" t="n"/>
      <c r="C52" s="3" t="n"/>
      <c r="D52" s="3" t="n"/>
      <c r="E52" s="3">
        <f>IF(D52="","",D52*0.75)</f>
        <v/>
      </c>
      <c r="F52" s="3">
        <f>IF(D52="","",F51+D52)</f>
        <v/>
      </c>
      <c r="G52" s="3">
        <f>IF(D52="","",G51+D52*0.75)</f>
        <v/>
      </c>
    </row>
    <row r="53">
      <c r="A53" s="3" t="n"/>
      <c r="B53" s="4" t="n"/>
      <c r="C53" s="3" t="n"/>
      <c r="D53" s="3" t="n"/>
      <c r="E53" s="3">
        <f>IF(D53="","",D53*0.75)</f>
        <v/>
      </c>
      <c r="F53" s="3">
        <f>IF(D53="","",F52+D53)</f>
        <v/>
      </c>
      <c r="G53" s="3">
        <f>IF(D53="","",G52+D53*0.75)</f>
        <v/>
      </c>
    </row>
    <row r="54">
      <c r="A54" s="3" t="n"/>
      <c r="B54" s="4" t="n"/>
      <c r="C54" s="3" t="n"/>
      <c r="D54" s="3" t="n"/>
      <c r="E54" s="3">
        <f>IF(D54="","",D54*0.75)</f>
        <v/>
      </c>
      <c r="F54" s="3">
        <f>IF(D54="","",F53+D54)</f>
        <v/>
      </c>
      <c r="G54" s="3">
        <f>IF(D54="","",G53+D54*0.75)</f>
        <v/>
      </c>
    </row>
    <row r="55">
      <c r="A55" s="3" t="n"/>
      <c r="B55" s="4" t="n"/>
      <c r="C55" s="3" t="n"/>
      <c r="D55" s="3" t="n"/>
      <c r="E55" s="3">
        <f>IF(D55="","",D55*0.75)</f>
        <v/>
      </c>
      <c r="F55" s="3">
        <f>IF(D55="","",F54+D55)</f>
        <v/>
      </c>
      <c r="G55" s="3">
        <f>IF(D55="","",G54+D55*0.75)</f>
        <v/>
      </c>
    </row>
    <row r="56">
      <c r="A56" s="3" t="n"/>
      <c r="B56" s="4" t="n"/>
      <c r="C56" s="3" t="n"/>
      <c r="D56" s="3" t="n"/>
      <c r="E56" s="3">
        <f>IF(D56="","",D56*0.75)</f>
        <v/>
      </c>
      <c r="F56" s="3">
        <f>IF(D56="","",F55+D56)</f>
        <v/>
      </c>
      <c r="G56" s="3">
        <f>IF(D56="","",G55+D56*0.75)</f>
        <v/>
      </c>
    </row>
    <row r="57">
      <c r="A57" s="3" t="n"/>
      <c r="B57" s="4" t="n"/>
      <c r="C57" s="3" t="n"/>
      <c r="D57" s="3" t="n"/>
      <c r="E57" s="3">
        <f>IF(D57="","",D57*0.75)</f>
        <v/>
      </c>
      <c r="F57" s="3">
        <f>IF(D57="","",F56+D57)</f>
        <v/>
      </c>
      <c r="G57" s="3">
        <f>IF(D57="","",G56+D57*0.75)</f>
        <v/>
      </c>
    </row>
    <row r="58">
      <c r="A58" s="3" t="n"/>
      <c r="B58" s="4" t="n"/>
      <c r="C58" s="3" t="n"/>
      <c r="D58" s="3" t="n"/>
      <c r="E58" s="3">
        <f>IF(D58="","",D58*0.75)</f>
        <v/>
      </c>
      <c r="F58" s="3">
        <f>IF(D58="","",F57+D58)</f>
        <v/>
      </c>
      <c r="G58" s="3">
        <f>IF(D58="","",G57+D58*0.75)</f>
        <v/>
      </c>
    </row>
    <row r="59">
      <c r="A59" s="3" t="n"/>
      <c r="B59" s="4" t="n"/>
      <c r="C59" s="3" t="n"/>
      <c r="D59" s="3" t="n"/>
      <c r="E59" s="3">
        <f>IF(D59="","",D59*0.75)</f>
        <v/>
      </c>
      <c r="F59" s="3">
        <f>IF(D59="","",F58+D59)</f>
        <v/>
      </c>
      <c r="G59" s="3">
        <f>IF(D59="","",G58+D59*0.75)</f>
        <v/>
      </c>
    </row>
    <row r="60">
      <c r="A60" s="3" t="n"/>
      <c r="B60" s="4" t="n"/>
      <c r="C60" s="3" t="n"/>
      <c r="D60" s="3" t="n"/>
      <c r="E60" s="3">
        <f>IF(D60="","",D60*0.75)</f>
        <v/>
      </c>
      <c r="F60" s="3">
        <f>IF(D60="","",F59+D60)</f>
        <v/>
      </c>
      <c r="G60" s="3">
        <f>IF(D60="","",G59+D60*0.75)</f>
        <v/>
      </c>
    </row>
    <row r="61">
      <c r="A61" s="3" t="n"/>
      <c r="B61" s="4" t="n"/>
      <c r="C61" s="3" t="n"/>
      <c r="D61" s="3" t="n"/>
      <c r="E61" s="3">
        <f>IF(D61="","",D61*0.75)</f>
        <v/>
      </c>
      <c r="F61" s="3">
        <f>IF(D61="","",F60+D61)</f>
        <v/>
      </c>
      <c r="G61" s="3">
        <f>IF(D61="","",G60+D61*0.75)</f>
        <v/>
      </c>
    </row>
    <row r="62">
      <c r="A62" s="3" t="n"/>
      <c r="B62" s="4" t="n"/>
      <c r="C62" s="3" t="n"/>
      <c r="D62" s="3" t="n"/>
      <c r="E62" s="3">
        <f>IF(D62="","",D62*0.75)</f>
        <v/>
      </c>
      <c r="F62" s="3">
        <f>IF(D62="","",F61+D62)</f>
        <v/>
      </c>
      <c r="G62" s="3">
        <f>IF(D62="","",G61+D62*0.75)</f>
        <v/>
      </c>
    </row>
    <row r="63">
      <c r="A63" s="3" t="n"/>
      <c r="B63" s="4" t="n"/>
      <c r="C63" s="3" t="n"/>
      <c r="D63" s="3" t="n"/>
      <c r="E63" s="3">
        <f>IF(D63="","",D63*0.75)</f>
        <v/>
      </c>
      <c r="F63" s="3">
        <f>IF(D63="","",F62+D63)</f>
        <v/>
      </c>
      <c r="G63" s="3">
        <f>IF(D63="","",G62+D63*0.75)</f>
        <v/>
      </c>
    </row>
    <row r="64">
      <c r="A64" s="3" t="n"/>
      <c r="B64" s="4" t="n"/>
      <c r="C64" s="3" t="n"/>
      <c r="D64" s="3" t="n"/>
      <c r="E64" s="3">
        <f>IF(D64="","",D64*0.75)</f>
        <v/>
      </c>
      <c r="F64" s="3">
        <f>IF(D64="","",F63+D64)</f>
        <v/>
      </c>
      <c r="G64" s="3">
        <f>IF(D64="","",G63+D64*0.75)</f>
        <v/>
      </c>
    </row>
    <row r="65">
      <c r="A65" s="3" t="n"/>
      <c r="B65" s="4" t="n"/>
      <c r="C65" s="3" t="n"/>
      <c r="D65" s="3" t="n"/>
      <c r="E65" s="3">
        <f>IF(D65="","",D65*0.75)</f>
        <v/>
      </c>
      <c r="F65" s="3">
        <f>IF(D65="","",F64+D65)</f>
        <v/>
      </c>
      <c r="G65" s="3">
        <f>IF(D65="","",G64+D65*0.75)</f>
        <v/>
      </c>
    </row>
    <row r="66">
      <c r="A66" s="3" t="n"/>
      <c r="B66" s="4" t="n"/>
      <c r="C66" s="3" t="n"/>
      <c r="D66" s="3" t="n"/>
      <c r="E66" s="3">
        <f>IF(D66="","",D66*0.75)</f>
        <v/>
      </c>
      <c r="F66" s="3">
        <f>IF(D66="","",F65+D66)</f>
        <v/>
      </c>
      <c r="G66" s="3">
        <f>IF(D66="","",G65+D66*0.75)</f>
        <v/>
      </c>
    </row>
    <row r="67">
      <c r="A67" s="3" t="n"/>
      <c r="B67" s="4" t="n"/>
      <c r="C67" s="3" t="n"/>
      <c r="D67" s="3" t="n"/>
      <c r="E67" s="3">
        <f>IF(D67="","",D67*0.75)</f>
        <v/>
      </c>
      <c r="F67" s="3">
        <f>IF(D67="","",F66+D67)</f>
        <v/>
      </c>
      <c r="G67" s="3">
        <f>IF(D67="","",G66+D67*0.75)</f>
        <v/>
      </c>
    </row>
    <row r="68">
      <c r="A68" s="3" t="n"/>
      <c r="B68" s="4" t="n"/>
      <c r="C68" s="3" t="n"/>
      <c r="D68" s="3" t="n"/>
      <c r="E68" s="3">
        <f>IF(D68="","",D68*0.75)</f>
        <v/>
      </c>
      <c r="F68" s="3">
        <f>IF(D68="","",F67+D68)</f>
        <v/>
      </c>
      <c r="G68" s="3">
        <f>IF(D68="","",G67+D68*0.75)</f>
        <v/>
      </c>
    </row>
    <row r="69">
      <c r="A69" s="3" t="n"/>
      <c r="B69" s="4" t="n"/>
      <c r="C69" s="3" t="n"/>
      <c r="D69" s="3" t="n"/>
      <c r="E69" s="3">
        <f>IF(D69="","",D69*0.75)</f>
        <v/>
      </c>
      <c r="F69" s="3">
        <f>IF(D69="","",F68+D69)</f>
        <v/>
      </c>
      <c r="G69" s="3">
        <f>IF(D69="","",G68+D69*0.75)</f>
        <v/>
      </c>
    </row>
    <row r="70">
      <c r="A70" s="3" t="n"/>
      <c r="B70" s="4" t="n"/>
      <c r="C70" s="3" t="n"/>
      <c r="D70" s="3" t="n"/>
      <c r="E70" s="3">
        <f>IF(D70="","",D70*0.75)</f>
        <v/>
      </c>
      <c r="F70" s="3">
        <f>IF(D70="","",F69+D70)</f>
        <v/>
      </c>
      <c r="G70" s="3">
        <f>IF(D70="","",G69+D70*0.75)</f>
        <v/>
      </c>
    </row>
    <row r="71">
      <c r="A71" s="3" t="n"/>
      <c r="B71" s="4" t="n"/>
      <c r="C71" s="3" t="n"/>
      <c r="D71" s="3" t="n"/>
      <c r="E71" s="3">
        <f>IF(D71="","",D71*0.75)</f>
        <v/>
      </c>
      <c r="F71" s="3">
        <f>IF(D71="","",F70+D71)</f>
        <v/>
      </c>
      <c r="G71" s="3">
        <f>IF(D71="","",G70+D71*0.75)</f>
        <v/>
      </c>
    </row>
    <row r="72">
      <c r="A72" s="3" t="n"/>
      <c r="B72" s="4" t="n"/>
      <c r="C72" s="3" t="n"/>
      <c r="D72" s="3" t="n"/>
      <c r="E72" s="3">
        <f>IF(D72="","",D72*0.75)</f>
        <v/>
      </c>
      <c r="F72" s="3">
        <f>IF(D72="","",F71+D72)</f>
        <v/>
      </c>
      <c r="G72" s="3">
        <f>IF(D72="","",G71+D72*0.75)</f>
        <v/>
      </c>
    </row>
    <row r="73">
      <c r="A73" s="3" t="n"/>
      <c r="B73" s="4" t="n"/>
      <c r="C73" s="3" t="n"/>
      <c r="D73" s="3" t="n"/>
      <c r="E73" s="3">
        <f>IF(D73="","",D73*0.75)</f>
        <v/>
      </c>
      <c r="F73" s="3">
        <f>IF(D73="","",F72+D73)</f>
        <v/>
      </c>
      <c r="G73" s="3">
        <f>IF(D73="","",G72+D73*0.75)</f>
        <v/>
      </c>
    </row>
    <row r="74">
      <c r="A74" s="3" t="n"/>
      <c r="B74" s="4" t="n"/>
      <c r="C74" s="3" t="n"/>
      <c r="D74" s="3" t="n"/>
      <c r="E74" s="3">
        <f>IF(D74="","",D74*0.75)</f>
        <v/>
      </c>
      <c r="F74" s="3">
        <f>IF(D74="","",F73+D74)</f>
        <v/>
      </c>
      <c r="G74" s="3">
        <f>IF(D74="","",G73+D74*0.75)</f>
        <v/>
      </c>
    </row>
    <row r="75">
      <c r="A75" s="3" t="n"/>
      <c r="B75" s="4" t="n"/>
      <c r="C75" s="3" t="n"/>
      <c r="D75" s="3" t="n"/>
      <c r="E75" s="3">
        <f>IF(D75="","",D75*0.75)</f>
        <v/>
      </c>
      <c r="F75" s="3">
        <f>IF(D75="","",F74+D75)</f>
        <v/>
      </c>
      <c r="G75" s="3">
        <f>IF(D75="","",G74+D75*0.75)</f>
        <v/>
      </c>
    </row>
    <row r="76">
      <c r="A76" s="3" t="n"/>
      <c r="B76" s="4" t="n"/>
      <c r="C76" s="3" t="n"/>
      <c r="D76" s="3" t="n"/>
      <c r="E76" s="3">
        <f>IF(D76="","",D76*0.75)</f>
        <v/>
      </c>
      <c r="F76" s="3">
        <f>IF(D76="","",F75+D76)</f>
        <v/>
      </c>
      <c r="G76" s="3">
        <f>IF(D76="","",G75+D76*0.75)</f>
        <v/>
      </c>
    </row>
    <row r="77">
      <c r="A77" s="3" t="n"/>
      <c r="B77" s="4" t="n"/>
      <c r="C77" s="3" t="n"/>
      <c r="D77" s="3" t="n"/>
      <c r="E77" s="3">
        <f>IF(D77="","",D77*0.75)</f>
        <v/>
      </c>
      <c r="F77" s="3">
        <f>IF(D77="","",F76+D77)</f>
        <v/>
      </c>
      <c r="G77" s="3">
        <f>IF(D77="","",G76+D77*0.75)</f>
        <v/>
      </c>
    </row>
    <row r="78">
      <c r="A78" s="3" t="n"/>
      <c r="B78" s="4" t="n"/>
      <c r="C78" s="3" t="n"/>
      <c r="D78" s="3" t="n"/>
      <c r="E78" s="3">
        <f>IF(D78="","",D78*0.75)</f>
        <v/>
      </c>
      <c r="F78" s="3">
        <f>IF(D78="","",F77+D78)</f>
        <v/>
      </c>
      <c r="G78" s="3">
        <f>IF(D78="","",G77+D78*0.75)</f>
        <v/>
      </c>
    </row>
    <row r="79">
      <c r="A79" s="3" t="n"/>
      <c r="B79" s="4" t="n"/>
      <c r="C79" s="3" t="n"/>
      <c r="D79" s="3" t="n"/>
      <c r="E79" s="3">
        <f>IF(D79="","",D79*0.75)</f>
        <v/>
      </c>
      <c r="F79" s="3">
        <f>IF(D79="","",F78+D79)</f>
        <v/>
      </c>
      <c r="G79" s="3">
        <f>IF(D79="","",G78+D79*0.75)</f>
        <v/>
      </c>
    </row>
    <row r="80">
      <c r="A80" s="3" t="n"/>
      <c r="B80" s="4" t="n"/>
      <c r="C80" s="3" t="n"/>
      <c r="D80" s="3" t="n"/>
      <c r="E80" s="3">
        <f>IF(D80="","",D80*0.75)</f>
        <v/>
      </c>
      <c r="F80" s="3">
        <f>IF(D80="","",F79+D80)</f>
        <v/>
      </c>
      <c r="G80" s="3">
        <f>IF(D80="","",G79+D80*0.75)</f>
        <v/>
      </c>
    </row>
    <row r="81">
      <c r="A81" s="3" t="n"/>
      <c r="B81" s="4" t="n"/>
      <c r="C81" s="3" t="n"/>
      <c r="D81" s="3" t="n"/>
      <c r="E81" s="3">
        <f>IF(D81="","",D81*0.75)</f>
        <v/>
      </c>
      <c r="F81" s="3">
        <f>IF(D81="","",F80+D81)</f>
        <v/>
      </c>
      <c r="G81" s="3">
        <f>IF(D81="","",G80+D81*0.75)</f>
        <v/>
      </c>
    </row>
    <row r="82">
      <c r="A82" s="3" t="n"/>
      <c r="B82" s="4" t="n"/>
      <c r="C82" s="3" t="n"/>
      <c r="D82" s="3" t="n"/>
      <c r="E82" s="3">
        <f>IF(D82="","",D82*0.75)</f>
        <v/>
      </c>
      <c r="F82" s="3">
        <f>IF(D82="","",F81+D82)</f>
        <v/>
      </c>
      <c r="G82" s="3">
        <f>IF(D82="","",G81+D82*0.75)</f>
        <v/>
      </c>
    </row>
    <row r="83">
      <c r="A83" s="3" t="n"/>
      <c r="B83" s="4" t="n"/>
      <c r="C83" s="3" t="n"/>
      <c r="D83" s="3" t="n"/>
      <c r="E83" s="3">
        <f>IF(D83="","",D83*0.75)</f>
        <v/>
      </c>
      <c r="F83" s="3">
        <f>IF(D83="","",F82+D83)</f>
        <v/>
      </c>
      <c r="G83" s="3">
        <f>IF(D83="","",G82+D83*0.75)</f>
        <v/>
      </c>
    </row>
    <row r="84">
      <c r="A84" s="3" t="n"/>
      <c r="B84" s="4" t="n"/>
      <c r="C84" s="3" t="n"/>
      <c r="D84" s="3" t="n"/>
      <c r="E84" s="3">
        <f>IF(D84="","",D84*0.75)</f>
        <v/>
      </c>
      <c r="F84" s="3">
        <f>IF(D84="","",F83+D84)</f>
        <v/>
      </c>
      <c r="G84" s="3">
        <f>IF(D84="","",G83+D84*0.75)</f>
        <v/>
      </c>
    </row>
    <row r="85">
      <c r="A85" s="3" t="n"/>
      <c r="B85" s="4" t="n"/>
      <c r="C85" s="3" t="n"/>
      <c r="D85" s="3" t="n"/>
      <c r="E85" s="3">
        <f>IF(D85="","",D85*0.75)</f>
        <v/>
      </c>
      <c r="F85" s="3">
        <f>IF(D85="","",F84+D85)</f>
        <v/>
      </c>
      <c r="G85" s="3">
        <f>IF(D85="","",G84+D85*0.75)</f>
        <v/>
      </c>
    </row>
    <row r="86">
      <c r="A86" s="3" t="n"/>
      <c r="B86" s="4" t="n"/>
      <c r="C86" s="3" t="n"/>
      <c r="D86" s="3" t="n"/>
      <c r="E86" s="3">
        <f>IF(D86="","",D86*0.75)</f>
        <v/>
      </c>
      <c r="F86" s="3">
        <f>IF(D86="","",F85+D86)</f>
        <v/>
      </c>
      <c r="G86" s="3">
        <f>IF(D86="","",G85+D86*0.75)</f>
        <v/>
      </c>
    </row>
    <row r="87">
      <c r="A87" s="3" t="n"/>
      <c r="B87" s="4" t="n"/>
      <c r="C87" s="3" t="n"/>
      <c r="D87" s="3" t="n"/>
      <c r="E87" s="3">
        <f>IF(D87="","",D87*0.75)</f>
        <v/>
      </c>
      <c r="F87" s="3">
        <f>IF(D87="","",F86+D87)</f>
        <v/>
      </c>
      <c r="G87" s="3">
        <f>IF(D87="","",G86+D87*0.75)</f>
        <v/>
      </c>
    </row>
    <row r="88">
      <c r="A88" s="3" t="n"/>
      <c r="B88" s="4" t="n"/>
      <c r="C88" s="3" t="n"/>
      <c r="D88" s="3" t="n"/>
      <c r="E88" s="3">
        <f>IF(D88="","",D88*0.75)</f>
        <v/>
      </c>
      <c r="F88" s="3">
        <f>IF(D88="","",F87+D88)</f>
        <v/>
      </c>
      <c r="G88" s="3">
        <f>IF(D88="","",G87+D88*0.75)</f>
        <v/>
      </c>
    </row>
    <row r="89">
      <c r="A89" s="3" t="n"/>
      <c r="B89" s="4" t="n"/>
      <c r="C89" s="3" t="n"/>
      <c r="D89" s="3" t="n"/>
      <c r="E89" s="3">
        <f>IF(D89="","",D89*0.75)</f>
        <v/>
      </c>
      <c r="F89" s="3">
        <f>IF(D89="","",F88+D89)</f>
        <v/>
      </c>
      <c r="G89" s="3">
        <f>IF(D89="","",G88+D89*0.75)</f>
        <v/>
      </c>
    </row>
    <row r="90">
      <c r="A90" s="3" t="n"/>
      <c r="B90" s="4" t="n"/>
      <c r="C90" s="3" t="n"/>
      <c r="D90" s="3" t="n"/>
      <c r="E90" s="3">
        <f>IF(D90="","",D90*0.75)</f>
        <v/>
      </c>
      <c r="F90" s="3">
        <f>IF(D90="","",F89+D90)</f>
        <v/>
      </c>
      <c r="G90" s="3">
        <f>IF(D90="","",G89+D90*0.75)</f>
        <v/>
      </c>
    </row>
    <row r="91">
      <c r="A91" s="3" t="n"/>
      <c r="B91" s="4" t="n"/>
      <c r="C91" s="3" t="n"/>
      <c r="D91" s="3" t="n"/>
      <c r="E91" s="3">
        <f>IF(D91="","",D91*0.75)</f>
        <v/>
      </c>
      <c r="F91" s="3">
        <f>IF(D91="","",F90+D91)</f>
        <v/>
      </c>
      <c r="G91" s="3">
        <f>IF(D91="","",G90+D91*0.75)</f>
        <v/>
      </c>
    </row>
    <row r="92">
      <c r="A92" s="3" t="n"/>
      <c r="B92" s="4" t="n"/>
      <c r="C92" s="3" t="n"/>
      <c r="D92" s="3" t="n"/>
      <c r="E92" s="3">
        <f>IF(D92="","",D92*0.75)</f>
        <v/>
      </c>
      <c r="F92" s="3">
        <f>IF(D92="","",F91+D92)</f>
        <v/>
      </c>
      <c r="G92" s="3">
        <f>IF(D92="","",G91+D92*0.75)</f>
        <v/>
      </c>
    </row>
    <row r="93">
      <c r="A93" s="3" t="n"/>
      <c r="B93" s="4" t="n"/>
      <c r="C93" s="3" t="n"/>
      <c r="D93" s="3" t="n"/>
      <c r="E93" s="3">
        <f>IF(D93="","",D93*0.75)</f>
        <v/>
      </c>
      <c r="F93" s="3">
        <f>IF(D93="","",F92+D93)</f>
        <v/>
      </c>
      <c r="G93" s="3">
        <f>IF(D93="","",G92+D93*0.75)</f>
        <v/>
      </c>
    </row>
    <row r="94">
      <c r="A94" s="3" t="n"/>
      <c r="B94" s="4" t="n"/>
      <c r="C94" s="3" t="n"/>
      <c r="D94" s="3" t="n"/>
      <c r="E94" s="3">
        <f>IF(D94="","",D94*0.75)</f>
        <v/>
      </c>
      <c r="F94" s="3">
        <f>IF(D94="","",F93+D94)</f>
        <v/>
      </c>
      <c r="G94" s="3">
        <f>IF(D94="","",G93+D94*0.75)</f>
        <v/>
      </c>
    </row>
    <row r="95">
      <c r="A95" s="3" t="n"/>
      <c r="B95" s="4" t="n"/>
      <c r="C95" s="3" t="n"/>
      <c r="D95" s="3" t="n"/>
      <c r="E95" s="3">
        <f>IF(D95="","",D95*0.75)</f>
        <v/>
      </c>
      <c r="F95" s="3">
        <f>IF(D95="","",F94+D95)</f>
        <v/>
      </c>
      <c r="G95" s="3">
        <f>IF(D95="","",G94+D95*0.75)</f>
        <v/>
      </c>
    </row>
    <row r="96">
      <c r="A96" s="3" t="n"/>
      <c r="B96" s="4" t="n"/>
      <c r="C96" s="3" t="n"/>
      <c r="D96" s="3" t="n"/>
      <c r="E96" s="3">
        <f>IF(D96="","",D96*0.75)</f>
        <v/>
      </c>
      <c r="F96" s="3">
        <f>IF(D96="","",F95+D96)</f>
        <v/>
      </c>
      <c r="G96" s="3">
        <f>IF(D96="","",G95+D96*0.75)</f>
        <v/>
      </c>
    </row>
    <row r="97">
      <c r="A97" s="3" t="n"/>
      <c r="B97" s="4" t="n"/>
      <c r="C97" s="3" t="n"/>
      <c r="D97" s="3" t="n"/>
      <c r="E97" s="3">
        <f>IF(D97="","",D97*0.75)</f>
        <v/>
      </c>
      <c r="F97" s="3">
        <f>IF(D97="","",F96+D97)</f>
        <v/>
      </c>
      <c r="G97" s="3">
        <f>IF(D97="","",G96+D97*0.75)</f>
        <v/>
      </c>
    </row>
    <row r="98">
      <c r="A98" s="3" t="n"/>
      <c r="B98" s="4" t="n"/>
      <c r="C98" s="3" t="n"/>
      <c r="D98" s="3" t="n"/>
      <c r="E98" s="3">
        <f>IF(D98="","",D98*0.75)</f>
        <v/>
      </c>
      <c r="F98" s="3">
        <f>IF(D98="","",F97+D98)</f>
        <v/>
      </c>
      <c r="G98" s="3">
        <f>IF(D98="","",G97+D98*0.75)</f>
        <v/>
      </c>
    </row>
    <row r="99">
      <c r="A99" s="3" t="n"/>
      <c r="B99" s="4" t="n"/>
      <c r="C99" s="3" t="n"/>
      <c r="D99" s="3" t="n"/>
      <c r="E99" s="3">
        <f>IF(D99="","",D99*0.75)</f>
        <v/>
      </c>
      <c r="F99" s="3">
        <f>IF(D99="","",F98+D99)</f>
        <v/>
      </c>
      <c r="G99" s="3">
        <f>IF(D99="","",G98+D99*0.75)</f>
        <v/>
      </c>
    </row>
    <row r="100">
      <c r="A100" s="3" t="n"/>
      <c r="B100" s="4" t="n"/>
      <c r="C100" s="3" t="n"/>
      <c r="D100" s="3" t="n"/>
      <c r="E100" s="3">
        <f>IF(D100="","",D100*0.75)</f>
        <v/>
      </c>
      <c r="F100" s="3">
        <f>IF(D100="","",F99+D100)</f>
        <v/>
      </c>
      <c r="G100" s="3">
        <f>IF(D100="","",G99+D100*0.75)</f>
        <v/>
      </c>
    </row>
    <row r="101">
      <c r="A101" s="3" t="n"/>
      <c r="B101" s="4" t="n"/>
      <c r="C101" s="3" t="n"/>
      <c r="D101" s="3" t="n"/>
      <c r="E101" s="3">
        <f>IF(D101="","",D101*0.75)</f>
        <v/>
      </c>
      <c r="F101" s="3">
        <f>IF(D101="","",F100+D101)</f>
        <v/>
      </c>
      <c r="G101" s="3">
        <f>IF(D101="","",G100+D101*0.75)</f>
        <v/>
      </c>
    </row>
    <row r="102">
      <c r="A102" s="3" t="n"/>
      <c r="B102" s="4" t="n"/>
      <c r="C102" s="3" t="n"/>
      <c r="D102" s="3" t="n"/>
      <c r="E102" s="3">
        <f>IF(D102="","",D102*0.75)</f>
        <v/>
      </c>
      <c r="F102" s="3">
        <f>IF(D102="","",F101+D102)</f>
        <v/>
      </c>
      <c r="G102" s="3">
        <f>IF(D102="","",G101+D102*0.75)</f>
        <v/>
      </c>
    </row>
    <row r="103">
      <c r="A103" s="3" t="n"/>
      <c r="B103" s="4" t="n"/>
      <c r="C103" s="3" t="n"/>
      <c r="D103" s="3" t="n"/>
      <c r="E103" s="3">
        <f>IF(D103="","",D103*0.75)</f>
        <v/>
      </c>
      <c r="F103" s="3">
        <f>IF(D103="","",F102+D103)</f>
        <v/>
      </c>
      <c r="G103" s="3">
        <f>IF(D103="","",G102+D103*0.75)</f>
        <v/>
      </c>
    </row>
    <row r="104">
      <c r="A104" s="3" t="n"/>
      <c r="B104" s="4" t="n"/>
      <c r="C104" s="3" t="n"/>
      <c r="D104" s="3" t="n"/>
      <c r="E104" s="3">
        <f>IF(D104="","",D104*0.75)</f>
        <v/>
      </c>
      <c r="F104" s="3">
        <f>IF(D104="","",F103+D104)</f>
        <v/>
      </c>
      <c r="G104" s="3">
        <f>IF(D104="","",G103+D104*0.75)</f>
        <v/>
      </c>
    </row>
    <row r="105">
      <c r="A105" s="3" t="n"/>
      <c r="B105" s="4" t="n"/>
      <c r="C105" s="3" t="n"/>
      <c r="D105" s="3" t="n"/>
      <c r="E105" s="3">
        <f>IF(D105="","",D105*0.75)</f>
        <v/>
      </c>
      <c r="F105" s="3">
        <f>IF(D105="","",F104+D105)</f>
        <v/>
      </c>
      <c r="G105" s="3">
        <f>IF(D105="","",G104+D105*0.75)</f>
        <v/>
      </c>
    </row>
    <row r="106">
      <c r="A106" s="3" t="n"/>
      <c r="B106" s="4" t="n"/>
      <c r="C106" s="3" t="n"/>
      <c r="D106" s="3" t="n"/>
      <c r="E106" s="3">
        <f>IF(D106="","",D106*0.75)</f>
        <v/>
      </c>
      <c r="F106" s="3">
        <f>IF(D106="","",F105+D106)</f>
        <v/>
      </c>
      <c r="G106" s="3">
        <f>IF(D106="","",G105+D106*0.75)</f>
        <v/>
      </c>
    </row>
    <row r="107">
      <c r="A107" s="3" t="n"/>
      <c r="B107" s="4" t="n"/>
      <c r="C107" s="3" t="n"/>
      <c r="D107" s="3" t="n"/>
      <c r="E107" s="3">
        <f>IF(D107="","",D107*0.75)</f>
        <v/>
      </c>
      <c r="F107" s="3">
        <f>IF(D107="","",F106+D107)</f>
        <v/>
      </c>
      <c r="G107" s="3">
        <f>IF(D107="","",G106+D107*0.75)</f>
        <v/>
      </c>
    </row>
    <row r="108">
      <c r="A108" s="3" t="n"/>
      <c r="B108" s="4" t="n"/>
      <c r="C108" s="3" t="n"/>
      <c r="D108" s="3" t="n"/>
      <c r="E108" s="3">
        <f>IF(D108="","",D108*0.75)</f>
        <v/>
      </c>
      <c r="F108" s="3">
        <f>IF(D108="","",F107+D108)</f>
        <v/>
      </c>
      <c r="G108" s="3">
        <f>IF(D108="","",G107+D108*0.75)</f>
        <v/>
      </c>
    </row>
    <row r="109">
      <c r="A109" s="3" t="n"/>
      <c r="B109" s="4" t="n"/>
      <c r="C109" s="3" t="n"/>
      <c r="D109" s="3" t="n"/>
      <c r="E109" s="3">
        <f>IF(D109="","",D109*0.75)</f>
        <v/>
      </c>
      <c r="F109" s="3">
        <f>IF(D109="","",F108+D109)</f>
        <v/>
      </c>
      <c r="G109" s="3">
        <f>IF(D109="","",G108+D109*0.75)</f>
        <v/>
      </c>
    </row>
    <row r="110">
      <c r="A110" s="3" t="n"/>
      <c r="B110" s="4" t="n"/>
      <c r="C110" s="3" t="n"/>
      <c r="D110" s="3" t="n"/>
      <c r="E110" s="3">
        <f>IF(D110="","",D110*0.75)</f>
        <v/>
      </c>
      <c r="F110" s="3">
        <f>IF(D110="","",F109+D110)</f>
        <v/>
      </c>
      <c r="G110" s="3">
        <f>IF(D110="","",G109+D110*0.75)</f>
        <v/>
      </c>
    </row>
    <row r="111">
      <c r="A111" s="3" t="n"/>
      <c r="B111" s="4" t="n"/>
      <c r="C111" s="3" t="n"/>
      <c r="D111" s="3" t="n"/>
      <c r="E111" s="3">
        <f>IF(D111="","",D111*0.75)</f>
        <v/>
      </c>
      <c r="F111" s="3">
        <f>IF(D111="","",F110+D111)</f>
        <v/>
      </c>
      <c r="G111" s="3">
        <f>IF(D111="","",G110+D111*0.75)</f>
        <v/>
      </c>
    </row>
    <row r="112">
      <c r="A112" s="3" t="n"/>
      <c r="B112" s="4" t="n"/>
      <c r="C112" s="3" t="n"/>
      <c r="D112" s="3" t="n"/>
      <c r="E112" s="3">
        <f>IF(D112="","",D112*0.75)</f>
        <v/>
      </c>
      <c r="F112" s="3">
        <f>IF(D112="","",F111+D112)</f>
        <v/>
      </c>
      <c r="G112" s="3">
        <f>IF(D112="","",G111+D112*0.75)</f>
        <v/>
      </c>
    </row>
    <row r="113">
      <c r="A113" s="3" t="n"/>
      <c r="B113" s="4" t="n"/>
      <c r="C113" s="3" t="n"/>
      <c r="D113" s="3" t="n"/>
      <c r="E113" s="3">
        <f>IF(D113="","",D113*0.75)</f>
        <v/>
      </c>
      <c r="F113" s="3">
        <f>IF(D113="","",F112+D113)</f>
        <v/>
      </c>
      <c r="G113" s="3">
        <f>IF(D113="","",G112+D113*0.75)</f>
        <v/>
      </c>
    </row>
    <row r="114">
      <c r="A114" s="3" t="n"/>
      <c r="B114" s="4" t="n"/>
      <c r="C114" s="3" t="n"/>
      <c r="D114" s="3" t="n"/>
      <c r="E114" s="3">
        <f>IF(D114="","",D114*0.75)</f>
        <v/>
      </c>
      <c r="F114" s="3">
        <f>IF(D114="","",F113+D114)</f>
        <v/>
      </c>
      <c r="G114" s="3">
        <f>IF(D114="","",G113+D114*0.75)</f>
        <v/>
      </c>
    </row>
    <row r="115">
      <c r="A115" s="3" t="n"/>
      <c r="B115" s="4" t="n"/>
      <c r="C115" s="3" t="n"/>
      <c r="D115" s="3" t="n"/>
      <c r="E115" s="3">
        <f>IF(D115="","",D115*0.75)</f>
        <v/>
      </c>
      <c r="F115" s="3">
        <f>IF(D115="","",F114+D115)</f>
        <v/>
      </c>
      <c r="G115" s="3">
        <f>IF(D115="","",G114+D115*0.75)</f>
        <v/>
      </c>
    </row>
    <row r="116">
      <c r="A116" s="3" t="n"/>
      <c r="B116" s="4" t="n"/>
      <c r="C116" s="3" t="n"/>
      <c r="D116" s="3" t="n"/>
      <c r="E116" s="3">
        <f>IF(D116="","",D116*0.75)</f>
        <v/>
      </c>
      <c r="F116" s="3">
        <f>IF(D116="","",F115+D116)</f>
        <v/>
      </c>
      <c r="G116" s="3">
        <f>IF(D116="","",G115+D116*0.75)</f>
        <v/>
      </c>
    </row>
    <row r="117">
      <c r="A117" s="3" t="n"/>
      <c r="B117" s="4" t="n"/>
      <c r="C117" s="3" t="n"/>
      <c r="D117" s="3" t="n"/>
      <c r="E117" s="3">
        <f>IF(D117="","",D117*0.75)</f>
        <v/>
      </c>
      <c r="F117" s="3">
        <f>IF(D117="","",F116+D117)</f>
        <v/>
      </c>
      <c r="G117" s="3">
        <f>IF(D117="","",G116+D117*0.75)</f>
        <v/>
      </c>
    </row>
    <row r="118">
      <c r="A118" s="3" t="n"/>
      <c r="B118" s="4" t="n"/>
      <c r="C118" s="3" t="n"/>
      <c r="D118" s="3" t="n"/>
      <c r="E118" s="3">
        <f>IF(D118="","",D118*0.75)</f>
        <v/>
      </c>
      <c r="F118" s="3">
        <f>IF(D118="","",F117+D118)</f>
        <v/>
      </c>
      <c r="G118" s="3">
        <f>IF(D118="","",G117+D118*0.75)</f>
        <v/>
      </c>
    </row>
    <row r="119">
      <c r="A119" s="3" t="n"/>
      <c r="B119" s="4" t="n"/>
      <c r="C119" s="3" t="n"/>
      <c r="D119" s="3" t="n"/>
      <c r="E119" s="3">
        <f>IF(D119="","",D119*0.75)</f>
        <v/>
      </c>
      <c r="F119" s="3">
        <f>IF(D119="","",F118+D119)</f>
        <v/>
      </c>
      <c r="G119" s="3">
        <f>IF(D119="","",G118+D119*0.75)</f>
        <v/>
      </c>
    </row>
    <row r="120">
      <c r="A120" s="3" t="n"/>
      <c r="B120" s="4" t="n"/>
      <c r="C120" s="3" t="n"/>
      <c r="D120" s="3" t="n"/>
      <c r="E120" s="3">
        <f>IF(D120="","",D120*0.75)</f>
        <v/>
      </c>
      <c r="F120" s="3">
        <f>IF(D120="","",F119+D120)</f>
        <v/>
      </c>
      <c r="G120" s="3">
        <f>IF(D120="","",G119+D120*0.75)</f>
        <v/>
      </c>
    </row>
    <row r="121">
      <c r="A121" s="3" t="n"/>
      <c r="B121" s="4" t="n"/>
      <c r="C121" s="3" t="n"/>
      <c r="D121" s="3" t="n"/>
      <c r="E121" s="3">
        <f>IF(D121="","",D121*0.75)</f>
        <v/>
      </c>
      <c r="F121" s="3">
        <f>IF(D121="","",F120+D121)</f>
        <v/>
      </c>
      <c r="G121" s="3">
        <f>IF(D121="","",G120+D121*0.75)</f>
        <v/>
      </c>
    </row>
    <row r="122">
      <c r="A122" s="3" t="n"/>
      <c r="B122" s="4" t="n"/>
      <c r="C122" s="3" t="n"/>
      <c r="D122" s="3" t="n"/>
      <c r="E122" s="3">
        <f>IF(D122="","",D122*0.75)</f>
        <v/>
      </c>
      <c r="F122" s="3">
        <f>IF(D122="","",F121+D122)</f>
        <v/>
      </c>
      <c r="G122" s="3">
        <f>IF(D122="","",G121+D122*0.75)</f>
        <v/>
      </c>
    </row>
    <row r="123">
      <c r="A123" s="3" t="n"/>
      <c r="B123" s="4" t="n"/>
      <c r="C123" s="3" t="n"/>
      <c r="D123" s="3" t="n"/>
      <c r="E123" s="3">
        <f>IF(D123="","",D123*0.75)</f>
        <v/>
      </c>
      <c r="F123" s="3">
        <f>IF(D123="","",F122+D123)</f>
        <v/>
      </c>
      <c r="G123" s="3">
        <f>IF(D123="","",G122+D123*0.75)</f>
        <v/>
      </c>
    </row>
    <row r="124">
      <c r="A124" s="3" t="n"/>
      <c r="B124" s="4" t="n"/>
      <c r="C124" s="3" t="n"/>
      <c r="D124" s="3" t="n"/>
      <c r="E124" s="3">
        <f>IF(D124="","",D124*0.75)</f>
        <v/>
      </c>
      <c r="F124" s="3">
        <f>IF(D124="","",F123+D124)</f>
        <v/>
      </c>
      <c r="G124" s="3">
        <f>IF(D124="","",G123+D124*0.75)</f>
        <v/>
      </c>
    </row>
    <row r="125">
      <c r="A125" s="3" t="n"/>
      <c r="B125" s="4" t="n"/>
      <c r="C125" s="3" t="n"/>
      <c r="D125" s="3" t="n"/>
      <c r="E125" s="3">
        <f>IF(D125="","",D125*0.75)</f>
        <v/>
      </c>
      <c r="F125" s="3">
        <f>IF(D125="","",F124+D125)</f>
        <v/>
      </c>
      <c r="G125" s="3">
        <f>IF(D125="","",G124+D125*0.75)</f>
        <v/>
      </c>
    </row>
    <row r="126">
      <c r="A126" s="3" t="n"/>
      <c r="B126" s="4" t="n"/>
      <c r="C126" s="3" t="n"/>
      <c r="D126" s="3" t="n"/>
      <c r="E126" s="3">
        <f>IF(D126="","",D126*0.75)</f>
        <v/>
      </c>
      <c r="F126" s="3">
        <f>IF(D126="","",F125+D126)</f>
        <v/>
      </c>
      <c r="G126" s="3">
        <f>IF(D126="","",G125+D126*0.75)</f>
        <v/>
      </c>
    </row>
    <row r="127">
      <c r="A127" s="3" t="n"/>
      <c r="B127" s="4" t="n"/>
      <c r="C127" s="3" t="n"/>
      <c r="D127" s="3" t="n"/>
      <c r="E127" s="3">
        <f>IF(D127="","",D127*0.75)</f>
        <v/>
      </c>
      <c r="F127" s="3">
        <f>IF(D127="","",F126+D127)</f>
        <v/>
      </c>
      <c r="G127" s="3">
        <f>IF(D127="","",G126+D127*0.75)</f>
        <v/>
      </c>
    </row>
    <row r="128">
      <c r="A128" s="3" t="n"/>
      <c r="B128" s="4" t="n"/>
      <c r="C128" s="3" t="n"/>
      <c r="D128" s="3" t="n"/>
      <c r="E128" s="3">
        <f>IF(D128="","",D128*0.75)</f>
        <v/>
      </c>
      <c r="F128" s="3">
        <f>IF(D128="","",F127+D128)</f>
        <v/>
      </c>
      <c r="G128" s="3">
        <f>IF(D128="","",G127+D128*0.75)</f>
        <v/>
      </c>
    </row>
    <row r="129">
      <c r="A129" s="3" t="n"/>
      <c r="B129" s="4" t="n"/>
      <c r="C129" s="3" t="n"/>
      <c r="D129" s="3" t="n"/>
      <c r="E129" s="3">
        <f>IF(D129="","",D129*0.75)</f>
        <v/>
      </c>
      <c r="F129" s="3">
        <f>IF(D129="","",F128+D129)</f>
        <v/>
      </c>
      <c r="G129" s="3">
        <f>IF(D129="","",G128+D129*0.75)</f>
        <v/>
      </c>
    </row>
    <row r="130">
      <c r="A130" s="3" t="n"/>
      <c r="B130" s="4" t="n"/>
      <c r="C130" s="3" t="n"/>
      <c r="D130" s="3" t="n"/>
      <c r="E130" s="3">
        <f>IF(D130="","",D130*0.75)</f>
        <v/>
      </c>
      <c r="F130" s="3">
        <f>IF(D130="","",F129+D130)</f>
        <v/>
      </c>
      <c r="G130" s="3">
        <f>IF(D130="","",G129+D130*0.75)</f>
        <v/>
      </c>
    </row>
    <row r="131">
      <c r="A131" s="3" t="n"/>
      <c r="B131" s="4" t="n"/>
      <c r="C131" s="3" t="n"/>
      <c r="D131" s="3" t="n"/>
      <c r="E131" s="3">
        <f>IF(D131="","",D131*0.75)</f>
        <v/>
      </c>
      <c r="F131" s="3">
        <f>IF(D131="","",F130+D131)</f>
        <v/>
      </c>
      <c r="G131" s="3">
        <f>IF(D131="","",G130+D131*0.75)</f>
        <v/>
      </c>
    </row>
    <row r="132">
      <c r="A132" s="3" t="n"/>
      <c r="B132" s="4" t="n"/>
      <c r="C132" s="3" t="n"/>
      <c r="D132" s="3" t="n"/>
      <c r="E132" s="3">
        <f>IF(D132="","",D132*0.75)</f>
        <v/>
      </c>
      <c r="F132" s="3">
        <f>IF(D132="","",F131+D132)</f>
        <v/>
      </c>
      <c r="G132" s="3">
        <f>IF(D132="","",G131+D132*0.75)</f>
        <v/>
      </c>
    </row>
    <row r="133">
      <c r="A133" s="3" t="n"/>
      <c r="B133" s="4" t="n"/>
      <c r="C133" s="3" t="n"/>
      <c r="D133" s="3" t="n"/>
      <c r="E133" s="3">
        <f>IF(D133="","",D133*0.75)</f>
        <v/>
      </c>
      <c r="F133" s="3">
        <f>IF(D133="","",F132+D133)</f>
        <v/>
      </c>
      <c r="G133" s="3">
        <f>IF(D133="","",G132+D133*0.75)</f>
        <v/>
      </c>
    </row>
    <row r="134">
      <c r="A134" s="3" t="n"/>
      <c r="B134" s="4" t="n"/>
      <c r="C134" s="3" t="n"/>
      <c r="D134" s="3" t="n"/>
      <c r="E134" s="3">
        <f>IF(D134="","",D134*0.75)</f>
        <v/>
      </c>
      <c r="F134" s="3">
        <f>IF(D134="","",F133+D134)</f>
        <v/>
      </c>
      <c r="G134" s="3">
        <f>IF(D134="","",G133+D134*0.75)</f>
        <v/>
      </c>
    </row>
    <row r="135">
      <c r="A135" s="3" t="n"/>
      <c r="B135" s="4" t="n"/>
      <c r="C135" s="3" t="n"/>
      <c r="D135" s="3" t="n"/>
      <c r="E135" s="3">
        <f>IF(D135="","",D135*0.75)</f>
        <v/>
      </c>
      <c r="F135" s="3">
        <f>IF(D135="","",F134+D135)</f>
        <v/>
      </c>
      <c r="G135" s="3">
        <f>IF(D135="","",G134+D135*0.75)</f>
        <v/>
      </c>
    </row>
    <row r="136">
      <c r="A136" s="3" t="n"/>
      <c r="B136" s="4" t="n"/>
      <c r="C136" s="3" t="n"/>
      <c r="D136" s="3" t="n"/>
      <c r="E136" s="3">
        <f>IF(D136="","",D136*0.75)</f>
        <v/>
      </c>
      <c r="F136" s="3">
        <f>IF(D136="","",F135+D136)</f>
        <v/>
      </c>
      <c r="G136" s="3">
        <f>IF(D136="","",G135+D136*0.75)</f>
        <v/>
      </c>
    </row>
    <row r="137">
      <c r="A137" s="3" t="n"/>
      <c r="B137" s="4" t="n"/>
      <c r="C137" s="3" t="n"/>
      <c r="D137" s="3" t="n"/>
      <c r="E137" s="3">
        <f>IF(D137="","",D137*0.75)</f>
        <v/>
      </c>
      <c r="F137" s="3">
        <f>IF(D137="","",F136+D137)</f>
        <v/>
      </c>
      <c r="G137" s="3">
        <f>IF(D137="","",G136+D137*0.75)</f>
        <v/>
      </c>
    </row>
    <row r="138">
      <c r="A138" s="3" t="n"/>
      <c r="B138" s="4" t="n"/>
      <c r="C138" s="3" t="n"/>
      <c r="D138" s="3" t="n"/>
      <c r="E138" s="3">
        <f>IF(D138="","",D138*0.75)</f>
        <v/>
      </c>
      <c r="F138" s="3">
        <f>IF(D138="","",F137+D138)</f>
        <v/>
      </c>
      <c r="G138" s="3">
        <f>IF(D138="","",G137+D138*0.75)</f>
        <v/>
      </c>
    </row>
    <row r="139">
      <c r="A139" s="3" t="n"/>
      <c r="B139" s="4" t="n"/>
      <c r="C139" s="3" t="n"/>
      <c r="D139" s="3" t="n"/>
      <c r="E139" s="3">
        <f>IF(D139="","",D139*0.75)</f>
        <v/>
      </c>
      <c r="F139" s="3">
        <f>IF(D139="","",F138+D139)</f>
        <v/>
      </c>
      <c r="G139" s="3">
        <f>IF(D139="","",G138+D139*0.75)</f>
        <v/>
      </c>
    </row>
    <row r="140">
      <c r="A140" s="3" t="n"/>
      <c r="B140" s="4" t="n"/>
      <c r="C140" s="3" t="n"/>
      <c r="D140" s="3" t="n"/>
      <c r="E140" s="3">
        <f>IF(D140="","",D140*0.75)</f>
        <v/>
      </c>
      <c r="F140" s="3">
        <f>IF(D140="","",F139+D140)</f>
        <v/>
      </c>
      <c r="G140" s="3">
        <f>IF(D140="","",G139+D140*0.75)</f>
        <v/>
      </c>
    </row>
    <row r="141">
      <c r="A141" s="3" t="n"/>
      <c r="B141" s="4" t="n"/>
      <c r="C141" s="3" t="n"/>
      <c r="D141" s="3" t="n"/>
      <c r="E141" s="3">
        <f>IF(D141="","",D141*0.75)</f>
        <v/>
      </c>
      <c r="F141" s="3">
        <f>IF(D141="","",F140+D141)</f>
        <v/>
      </c>
      <c r="G141" s="3">
        <f>IF(D141="","",G140+D141*0.75)</f>
        <v/>
      </c>
    </row>
    <row r="142">
      <c r="A142" s="3" t="n"/>
      <c r="B142" s="4" t="n"/>
      <c r="C142" s="3" t="n"/>
      <c r="D142" s="3" t="n"/>
      <c r="E142" s="3">
        <f>IF(D142="","",D142*0.75)</f>
        <v/>
      </c>
      <c r="F142" s="3">
        <f>IF(D142="","",F141+D142)</f>
        <v/>
      </c>
      <c r="G142" s="3">
        <f>IF(D142="","",G141+D142*0.75)</f>
        <v/>
      </c>
    </row>
    <row r="143">
      <c r="A143" s="3" t="n"/>
      <c r="B143" s="4" t="n"/>
      <c r="C143" s="3" t="n"/>
      <c r="D143" s="3" t="n"/>
      <c r="E143" s="3">
        <f>IF(D143="","",D143*0.75)</f>
        <v/>
      </c>
      <c r="F143" s="3">
        <f>IF(D143="","",F142+D143)</f>
        <v/>
      </c>
      <c r="G143" s="3">
        <f>IF(D143="","",G142+D143*0.75)</f>
        <v/>
      </c>
    </row>
    <row r="144">
      <c r="A144" s="3" t="n"/>
      <c r="B144" s="4" t="n"/>
      <c r="C144" s="3" t="n"/>
      <c r="D144" s="3" t="n"/>
      <c r="E144" s="3">
        <f>IF(D144="","",D144*0.75)</f>
        <v/>
      </c>
      <c r="F144" s="3">
        <f>IF(D144="","",F143+D144)</f>
        <v/>
      </c>
      <c r="G144" s="3">
        <f>IF(D144="","",G143+D144*0.75)</f>
        <v/>
      </c>
    </row>
    <row r="145">
      <c r="A145" s="3" t="n"/>
      <c r="B145" s="4" t="n"/>
      <c r="C145" s="3" t="n"/>
      <c r="D145" s="3" t="n"/>
      <c r="E145" s="3">
        <f>IF(D145="","",D145*0.75)</f>
        <v/>
      </c>
      <c r="F145" s="3">
        <f>IF(D145="","",F144+D145)</f>
        <v/>
      </c>
      <c r="G145" s="3">
        <f>IF(D145="","",G144+D145*0.75)</f>
        <v/>
      </c>
    </row>
    <row r="146">
      <c r="A146" s="3" t="n"/>
      <c r="B146" s="4" t="n"/>
      <c r="C146" s="3" t="n"/>
      <c r="D146" s="3" t="n"/>
      <c r="E146" s="3">
        <f>IF(D146="","",D146*0.75)</f>
        <v/>
      </c>
      <c r="F146" s="3">
        <f>IF(D146="","",F145+D146)</f>
        <v/>
      </c>
      <c r="G146" s="3">
        <f>IF(D146="","",G145+D146*0.75)</f>
        <v/>
      </c>
    </row>
    <row r="147">
      <c r="A147" s="3" t="n"/>
      <c r="B147" s="4" t="n"/>
      <c r="C147" s="3" t="n"/>
      <c r="D147" s="3" t="n"/>
      <c r="E147" s="3">
        <f>IF(D147="","",D147*0.75)</f>
        <v/>
      </c>
      <c r="F147" s="3">
        <f>IF(D147="","",F146+D147)</f>
        <v/>
      </c>
      <c r="G147" s="3">
        <f>IF(D147="","",G146+D147*0.75)</f>
        <v/>
      </c>
    </row>
    <row r="148">
      <c r="A148" s="3" t="n"/>
      <c r="B148" s="4" t="n"/>
      <c r="C148" s="3" t="n"/>
      <c r="D148" s="3" t="n"/>
      <c r="E148" s="3">
        <f>IF(D148="","",D148*0.75)</f>
        <v/>
      </c>
      <c r="F148" s="3">
        <f>IF(D148="","",F147+D148)</f>
        <v/>
      </c>
      <c r="G148" s="3">
        <f>IF(D148="","",G147+D148*0.75)</f>
        <v/>
      </c>
    </row>
    <row r="149">
      <c r="A149" s="3" t="n"/>
      <c r="B149" s="4" t="n"/>
      <c r="C149" s="3" t="n"/>
      <c r="D149" s="3" t="n"/>
      <c r="E149" s="3">
        <f>IF(D149="","",D149*0.75)</f>
        <v/>
      </c>
      <c r="F149" s="3">
        <f>IF(D149="","",F148+D149)</f>
        <v/>
      </c>
      <c r="G149" s="3">
        <f>IF(D149="","",G148+D149*0.75)</f>
        <v/>
      </c>
    </row>
    <row r="150">
      <c r="A150" s="3" t="n"/>
      <c r="B150" s="4" t="n"/>
      <c r="C150" s="3" t="n"/>
      <c r="D150" s="3" t="n"/>
      <c r="E150" s="3">
        <f>IF(D150="","",D150*0.75)</f>
        <v/>
      </c>
      <c r="F150" s="3">
        <f>IF(D150="","",F149+D150)</f>
        <v/>
      </c>
      <c r="G150" s="3">
        <f>IF(D150="","",G149+D150*0.75)</f>
        <v/>
      </c>
    </row>
    <row r="151">
      <c r="A151" s="3" t="n"/>
      <c r="B151" s="4" t="n"/>
      <c r="C151" s="3" t="n"/>
      <c r="D151" s="3" t="n"/>
      <c r="E151" s="3">
        <f>IF(D151="","",D151*0.75)</f>
        <v/>
      </c>
      <c r="F151" s="3">
        <f>IF(D151="","",F150+D151)</f>
        <v/>
      </c>
      <c r="G151" s="3">
        <f>IF(D151="","",G150+D151*0.75)</f>
        <v/>
      </c>
    </row>
    <row r="152">
      <c r="A152" s="3" t="n"/>
      <c r="B152" s="4" t="n"/>
      <c r="C152" s="3" t="n"/>
      <c r="D152" s="3" t="n"/>
      <c r="E152" s="3">
        <f>IF(D152="","",D152*0.75)</f>
        <v/>
      </c>
      <c r="F152" s="3">
        <f>IF(D152="","",F151+D152)</f>
        <v/>
      </c>
      <c r="G152" s="3">
        <f>IF(D152="","",G151+D152*0.75)</f>
        <v/>
      </c>
    </row>
    <row r="153">
      <c r="A153" s="3" t="n"/>
      <c r="B153" s="4" t="n"/>
      <c r="C153" s="3" t="n"/>
      <c r="D153" s="3" t="n"/>
      <c r="E153" s="3">
        <f>IF(D153="","",D153*0.75)</f>
        <v/>
      </c>
      <c r="F153" s="3">
        <f>IF(D153="","",F152+D153)</f>
        <v/>
      </c>
      <c r="G153" s="3">
        <f>IF(D153="","",G152+D153*0.75)</f>
        <v/>
      </c>
    </row>
    <row r="154">
      <c r="A154" s="3" t="n"/>
      <c r="B154" s="4" t="n"/>
      <c r="C154" s="3" t="n"/>
      <c r="D154" s="3" t="n"/>
      <c r="E154" s="3">
        <f>IF(D154="","",D154*0.75)</f>
        <v/>
      </c>
      <c r="F154" s="3">
        <f>IF(D154="","",F153+D154)</f>
        <v/>
      </c>
      <c r="G154" s="3">
        <f>IF(D154="","",G153+D154*0.75)</f>
        <v/>
      </c>
    </row>
    <row r="155">
      <c r="A155" s="3" t="n"/>
      <c r="B155" s="4" t="n"/>
      <c r="C155" s="3" t="n"/>
      <c r="D155" s="3" t="n"/>
      <c r="E155" s="3">
        <f>IF(D155="","",D155*0.75)</f>
        <v/>
      </c>
      <c r="F155" s="3">
        <f>IF(D155="","",F154+D155)</f>
        <v/>
      </c>
      <c r="G155" s="3">
        <f>IF(D155="","",G154+D155*0.75)</f>
        <v/>
      </c>
    </row>
    <row r="156">
      <c r="A156" s="3" t="n"/>
      <c r="B156" s="4" t="n"/>
      <c r="C156" s="3" t="n"/>
      <c r="D156" s="3" t="n"/>
      <c r="E156" s="3">
        <f>IF(D156="","",D156*0.75)</f>
        <v/>
      </c>
      <c r="F156" s="3">
        <f>IF(D156="","",F155+D156)</f>
        <v/>
      </c>
      <c r="G156" s="3">
        <f>IF(D156="","",G155+D156*0.75)</f>
        <v/>
      </c>
    </row>
    <row r="157">
      <c r="A157" s="3" t="n"/>
      <c r="B157" s="4" t="n"/>
      <c r="C157" s="3" t="n"/>
      <c r="D157" s="3" t="n"/>
      <c r="E157" s="3">
        <f>IF(D157="","",D157*0.75)</f>
        <v/>
      </c>
      <c r="F157" s="3">
        <f>IF(D157="","",F156+D157)</f>
        <v/>
      </c>
      <c r="G157" s="3">
        <f>IF(D157="","",G156+D157*0.75)</f>
        <v/>
      </c>
    </row>
    <row r="158">
      <c r="A158" s="3" t="n"/>
      <c r="B158" s="4" t="n"/>
      <c r="C158" s="3" t="n"/>
      <c r="D158" s="3" t="n"/>
      <c r="E158" s="3">
        <f>IF(D158="","",D158*0.75)</f>
        <v/>
      </c>
      <c r="F158" s="3">
        <f>IF(D158="","",F157+D158)</f>
        <v/>
      </c>
      <c r="G158" s="3">
        <f>IF(D158="","",G157+D158*0.75)</f>
        <v/>
      </c>
    </row>
    <row r="159">
      <c r="A159" s="3" t="n"/>
      <c r="B159" s="4" t="n"/>
      <c r="C159" s="3" t="n"/>
      <c r="D159" s="3" t="n"/>
      <c r="E159" s="3">
        <f>IF(D159="","",D159*0.75)</f>
        <v/>
      </c>
      <c r="F159" s="3">
        <f>IF(D159="","",F158+D159)</f>
        <v/>
      </c>
      <c r="G159" s="3">
        <f>IF(D159="","",G158+D159*0.75)</f>
        <v/>
      </c>
    </row>
    <row r="160">
      <c r="A160" s="3" t="n"/>
      <c r="B160" s="4" t="n"/>
      <c r="C160" s="3" t="n"/>
      <c r="D160" s="3" t="n"/>
      <c r="E160" s="3">
        <f>IF(D160="","",D160*0.75)</f>
        <v/>
      </c>
      <c r="F160" s="3">
        <f>IF(D160="","",F159+D160)</f>
        <v/>
      </c>
      <c r="G160" s="3">
        <f>IF(D160="","",G159+D160*0.75)</f>
        <v/>
      </c>
    </row>
    <row r="161">
      <c r="A161" s="3" t="n"/>
      <c r="B161" s="4" t="n"/>
      <c r="C161" s="3" t="n"/>
      <c r="D161" s="3" t="n"/>
      <c r="E161" s="3">
        <f>IF(D161="","",D161*0.75)</f>
        <v/>
      </c>
      <c r="F161" s="3">
        <f>IF(D161="","",F160+D161)</f>
        <v/>
      </c>
      <c r="G161" s="3">
        <f>IF(D161="","",G160+D161*0.75)</f>
        <v/>
      </c>
    </row>
    <row r="162">
      <c r="A162" s="3" t="n"/>
      <c r="B162" s="4" t="n"/>
      <c r="C162" s="3" t="n"/>
      <c r="D162" s="3" t="n"/>
      <c r="E162" s="3">
        <f>IF(D162="","",D162*0.75)</f>
        <v/>
      </c>
      <c r="F162" s="3">
        <f>IF(D162="","",F161+D162)</f>
        <v/>
      </c>
      <c r="G162" s="3">
        <f>IF(D162="","",G161+D162*0.75)</f>
        <v/>
      </c>
    </row>
    <row r="163">
      <c r="A163" s="3" t="n"/>
      <c r="B163" s="4" t="n"/>
      <c r="C163" s="3" t="n"/>
      <c r="D163" s="3" t="n"/>
      <c r="E163" s="3">
        <f>IF(D163="","",D163*0.75)</f>
        <v/>
      </c>
      <c r="F163" s="3">
        <f>IF(D163="","",F162+D163)</f>
        <v/>
      </c>
      <c r="G163" s="3">
        <f>IF(D163="","",G162+D163*0.75)</f>
        <v/>
      </c>
    </row>
    <row r="164">
      <c r="A164" s="3" t="n"/>
      <c r="B164" s="4" t="n"/>
      <c r="C164" s="3" t="n"/>
      <c r="D164" s="3" t="n"/>
      <c r="E164" s="3">
        <f>IF(D164="","",D164*0.75)</f>
        <v/>
      </c>
      <c r="F164" s="3">
        <f>IF(D164="","",F163+D164)</f>
        <v/>
      </c>
      <c r="G164" s="3">
        <f>IF(D164="","",G163+D164*0.75)</f>
        <v/>
      </c>
    </row>
    <row r="165">
      <c r="A165" s="3" t="n"/>
      <c r="B165" s="4" t="n"/>
      <c r="C165" s="3" t="n"/>
      <c r="D165" s="3" t="n"/>
      <c r="E165" s="3">
        <f>IF(D165="","",D165*0.75)</f>
        <v/>
      </c>
      <c r="F165" s="3">
        <f>IF(D165="","",F164+D165)</f>
        <v/>
      </c>
      <c r="G165" s="3">
        <f>IF(D165="","",G164+D165*0.75)</f>
        <v/>
      </c>
    </row>
    <row r="166">
      <c r="A166" s="3" t="n"/>
      <c r="B166" s="4" t="n"/>
      <c r="C166" s="3" t="n"/>
      <c r="D166" s="3" t="n"/>
      <c r="E166" s="3">
        <f>IF(D166="","",D166*0.75)</f>
        <v/>
      </c>
      <c r="F166" s="3">
        <f>IF(D166="","",F165+D166)</f>
        <v/>
      </c>
      <c r="G166" s="3">
        <f>IF(D166="","",G165+D166*0.75)</f>
        <v/>
      </c>
    </row>
    <row r="167">
      <c r="A167" s="3" t="n"/>
      <c r="B167" s="4" t="n"/>
      <c r="C167" s="3" t="n"/>
      <c r="D167" s="3" t="n"/>
      <c r="E167" s="3">
        <f>IF(D167="","",D167*0.75)</f>
        <v/>
      </c>
      <c r="F167" s="3">
        <f>IF(D167="","",F166+D167)</f>
        <v/>
      </c>
      <c r="G167" s="3">
        <f>IF(D167="","",G166+D167*0.75)</f>
        <v/>
      </c>
    </row>
    <row r="168">
      <c r="A168" s="3" t="n"/>
      <c r="B168" s="4" t="n"/>
      <c r="C168" s="3" t="n"/>
      <c r="D168" s="3" t="n"/>
      <c r="E168" s="3">
        <f>IF(D168="","",D168*0.75)</f>
        <v/>
      </c>
      <c r="F168" s="3">
        <f>IF(D168="","",F167+D168)</f>
        <v/>
      </c>
      <c r="G168" s="3">
        <f>IF(D168="","",G167+D168*0.75)</f>
        <v/>
      </c>
    </row>
    <row r="169">
      <c r="A169" s="3" t="n"/>
      <c r="B169" s="4" t="n"/>
      <c r="C169" s="3" t="n"/>
      <c r="D169" s="3" t="n"/>
      <c r="E169" s="3">
        <f>IF(D169="","",D169*0.75)</f>
        <v/>
      </c>
      <c r="F169" s="3">
        <f>IF(D169="","",F168+D169)</f>
        <v/>
      </c>
      <c r="G169" s="3">
        <f>IF(D169="","",G168+D169*0.75)</f>
        <v/>
      </c>
    </row>
    <row r="170">
      <c r="A170" s="3" t="n"/>
      <c r="B170" s="4" t="n"/>
      <c r="C170" s="3" t="n"/>
      <c r="D170" s="3" t="n"/>
      <c r="E170" s="3">
        <f>IF(D170="","",D170*0.75)</f>
        <v/>
      </c>
      <c r="F170" s="3">
        <f>IF(D170="","",F169+D170)</f>
        <v/>
      </c>
      <c r="G170" s="3">
        <f>IF(D170="","",G169+D170*0.75)</f>
        <v/>
      </c>
    </row>
    <row r="171">
      <c r="A171" s="3" t="n"/>
      <c r="B171" s="4" t="n"/>
      <c r="C171" s="3" t="n"/>
      <c r="D171" s="3" t="n"/>
      <c r="E171" s="3">
        <f>IF(D171="","",D171*0.75)</f>
        <v/>
      </c>
      <c r="F171" s="3">
        <f>IF(D171="","",F170+D171)</f>
        <v/>
      </c>
      <c r="G171" s="3">
        <f>IF(D171="","",G170+D171*0.75)</f>
        <v/>
      </c>
    </row>
    <row r="172">
      <c r="A172" s="3" t="n"/>
      <c r="B172" s="4" t="n"/>
      <c r="C172" s="3" t="n"/>
      <c r="D172" s="3" t="n"/>
      <c r="E172" s="3">
        <f>IF(D172="","",D172*0.75)</f>
        <v/>
      </c>
      <c r="F172" s="3">
        <f>IF(D172="","",F171+D172)</f>
        <v/>
      </c>
      <c r="G172" s="3">
        <f>IF(D172="","",G171+D172*0.75)</f>
        <v/>
      </c>
    </row>
    <row r="173">
      <c r="A173" s="3" t="n"/>
      <c r="B173" s="4" t="n"/>
      <c r="C173" s="3" t="n"/>
      <c r="D173" s="3" t="n"/>
      <c r="E173" s="3">
        <f>IF(D173="","",D173*0.75)</f>
        <v/>
      </c>
      <c r="F173" s="3">
        <f>IF(D173="","",F172+D173)</f>
        <v/>
      </c>
      <c r="G173" s="3">
        <f>IF(D173="","",G172+D173*0.75)</f>
        <v/>
      </c>
    </row>
    <row r="174">
      <c r="A174" s="3" t="n"/>
      <c r="B174" s="4" t="n"/>
      <c r="C174" s="3" t="n"/>
      <c r="D174" s="3" t="n"/>
      <c r="E174" s="3">
        <f>IF(D174="","",D174*0.75)</f>
        <v/>
      </c>
      <c r="F174" s="3">
        <f>IF(D174="","",F173+D174)</f>
        <v/>
      </c>
      <c r="G174" s="3">
        <f>IF(D174="","",G173+D174*0.75)</f>
        <v/>
      </c>
    </row>
    <row r="175">
      <c r="A175" s="3" t="n"/>
      <c r="B175" s="4" t="n"/>
      <c r="C175" s="3" t="n"/>
      <c r="D175" s="3" t="n"/>
      <c r="E175" s="3">
        <f>IF(D175="","",D175*0.75)</f>
        <v/>
      </c>
      <c r="F175" s="3">
        <f>IF(D175="","",F174+D175)</f>
        <v/>
      </c>
      <c r="G175" s="3">
        <f>IF(D175="","",G174+D175*0.75)</f>
        <v/>
      </c>
    </row>
    <row r="176">
      <c r="A176" s="3" t="n"/>
      <c r="B176" s="4" t="n"/>
      <c r="C176" s="3" t="n"/>
      <c r="D176" s="3" t="n"/>
      <c r="E176" s="3">
        <f>IF(D176="","",D176*0.75)</f>
        <v/>
      </c>
      <c r="F176" s="3">
        <f>IF(D176="","",F175+D176)</f>
        <v/>
      </c>
      <c r="G176" s="3">
        <f>IF(D176="","",G175+D176*0.75)</f>
        <v/>
      </c>
    </row>
    <row r="177">
      <c r="A177" s="3" t="n"/>
      <c r="B177" s="4" t="n"/>
      <c r="C177" s="3" t="n"/>
      <c r="D177" s="3" t="n"/>
      <c r="E177" s="3">
        <f>IF(D177="","",D177*0.75)</f>
        <v/>
      </c>
      <c r="F177" s="3">
        <f>IF(D177="","",F176+D177)</f>
        <v/>
      </c>
      <c r="G177" s="3">
        <f>IF(D177="","",G176+D177*0.75)</f>
        <v/>
      </c>
    </row>
    <row r="178">
      <c r="A178" s="3" t="n"/>
      <c r="B178" s="4" t="n"/>
      <c r="C178" s="3" t="n"/>
      <c r="D178" s="3" t="n"/>
      <c r="E178" s="3">
        <f>IF(D178="","",D178*0.75)</f>
        <v/>
      </c>
      <c r="F178" s="3">
        <f>IF(D178="","",F177+D178)</f>
        <v/>
      </c>
      <c r="G178" s="3">
        <f>IF(D178="","",G177+D178*0.75)</f>
        <v/>
      </c>
    </row>
    <row r="179">
      <c r="A179" s="3" t="n"/>
      <c r="B179" s="4" t="n"/>
      <c r="C179" s="3" t="n"/>
      <c r="D179" s="3" t="n"/>
      <c r="E179" s="3">
        <f>IF(D179="","",D179*0.75)</f>
        <v/>
      </c>
      <c r="F179" s="3">
        <f>IF(D179="","",F178+D179)</f>
        <v/>
      </c>
      <c r="G179" s="3">
        <f>IF(D179="","",G178+D179*0.75)</f>
        <v/>
      </c>
    </row>
    <row r="180">
      <c r="A180" s="3" t="n"/>
      <c r="B180" s="4" t="n"/>
      <c r="C180" s="3" t="n"/>
      <c r="D180" s="3" t="n"/>
      <c r="E180" s="3">
        <f>IF(D180="","",D180*0.75)</f>
        <v/>
      </c>
      <c r="F180" s="3">
        <f>IF(D180="","",F179+D180)</f>
        <v/>
      </c>
      <c r="G180" s="3">
        <f>IF(D180="","",G179+D180*0.75)</f>
        <v/>
      </c>
    </row>
    <row r="181">
      <c r="A181" s="3" t="n"/>
      <c r="B181" s="4" t="n"/>
      <c r="C181" s="3" t="n"/>
      <c r="D181" s="3" t="n"/>
      <c r="E181" s="3">
        <f>IF(D181="","",D181*0.75)</f>
        <v/>
      </c>
      <c r="F181" s="3">
        <f>IF(D181="","",F180+D181)</f>
        <v/>
      </c>
      <c r="G181" s="3">
        <f>IF(D181="","",G180+D181*0.75)</f>
        <v/>
      </c>
    </row>
    <row r="182">
      <c r="A182" s="3" t="n"/>
      <c r="B182" s="4" t="n"/>
      <c r="C182" s="3" t="n"/>
      <c r="D182" s="3" t="n"/>
      <c r="E182" s="3">
        <f>IF(D182="","",D182*0.75)</f>
        <v/>
      </c>
      <c r="F182" s="3">
        <f>IF(D182="","",F181+D182)</f>
        <v/>
      </c>
      <c r="G182" s="3">
        <f>IF(D182="","",G181+D182*0.75)</f>
        <v/>
      </c>
    </row>
    <row r="183">
      <c r="A183" s="3" t="n"/>
      <c r="B183" s="4" t="n"/>
      <c r="C183" s="3" t="n"/>
      <c r="D183" s="3" t="n"/>
      <c r="E183" s="3">
        <f>IF(D183="","",D183*0.75)</f>
        <v/>
      </c>
      <c r="F183" s="3">
        <f>IF(D183="","",F182+D183)</f>
        <v/>
      </c>
      <c r="G183" s="3">
        <f>IF(D183="","",G182+D183*0.75)</f>
        <v/>
      </c>
    </row>
    <row r="184">
      <c r="A184" s="3" t="n"/>
      <c r="B184" s="4" t="n"/>
      <c r="C184" s="3" t="n"/>
      <c r="D184" s="3" t="n"/>
      <c r="E184" s="3">
        <f>IF(D184="","",D184*0.75)</f>
        <v/>
      </c>
      <c r="F184" s="3">
        <f>IF(D184="","",F183+D184)</f>
        <v/>
      </c>
      <c r="G184" s="3">
        <f>IF(D184="","",G183+D184*0.75)</f>
        <v/>
      </c>
    </row>
    <row r="185">
      <c r="A185" s="3" t="n"/>
      <c r="B185" s="4" t="n"/>
      <c r="C185" s="3" t="n"/>
      <c r="D185" s="3" t="n"/>
      <c r="E185" s="3">
        <f>IF(D185="","",D185*0.75)</f>
        <v/>
      </c>
      <c r="F185" s="3">
        <f>IF(D185="","",F184+D185)</f>
        <v/>
      </c>
      <c r="G185" s="3">
        <f>IF(D185="","",G184+D185*0.75)</f>
        <v/>
      </c>
    </row>
    <row r="186">
      <c r="A186" s="3" t="n"/>
      <c r="B186" s="4" t="n"/>
      <c r="C186" s="3" t="n"/>
      <c r="D186" s="3" t="n"/>
      <c r="E186" s="3">
        <f>IF(D186="","",D186*0.75)</f>
        <v/>
      </c>
      <c r="F186" s="3">
        <f>IF(D186="","",F185+D186)</f>
        <v/>
      </c>
      <c r="G186" s="3">
        <f>IF(D186="","",G185+D186*0.75)</f>
        <v/>
      </c>
    </row>
    <row r="187">
      <c r="A187" s="3" t="n"/>
      <c r="B187" s="4" t="n"/>
      <c r="C187" s="3" t="n"/>
      <c r="D187" s="3" t="n"/>
      <c r="E187" s="3">
        <f>IF(D187="","",D187*0.75)</f>
        <v/>
      </c>
      <c r="F187" s="3">
        <f>IF(D187="","",F186+D187)</f>
        <v/>
      </c>
      <c r="G187" s="3">
        <f>IF(D187="","",G186+D187*0.75)</f>
        <v/>
      </c>
    </row>
    <row r="188">
      <c r="A188" s="3" t="n"/>
      <c r="B188" s="4" t="n"/>
      <c r="C188" s="3" t="n"/>
      <c r="D188" s="3" t="n"/>
      <c r="E188" s="3">
        <f>IF(D188="","",D188*0.75)</f>
        <v/>
      </c>
      <c r="F188" s="3">
        <f>IF(D188="","",F187+D188)</f>
        <v/>
      </c>
      <c r="G188" s="3">
        <f>IF(D188="","",G187+D188*0.75)</f>
        <v/>
      </c>
    </row>
    <row r="189">
      <c r="A189" s="3" t="n"/>
      <c r="B189" s="4" t="n"/>
      <c r="C189" s="3" t="n"/>
      <c r="D189" s="3" t="n"/>
      <c r="E189" s="3">
        <f>IF(D189="","",D189*0.75)</f>
        <v/>
      </c>
      <c r="F189" s="3">
        <f>IF(D189="","",F188+D189)</f>
        <v/>
      </c>
      <c r="G189" s="3">
        <f>IF(D189="","",G188+D189*0.75)</f>
        <v/>
      </c>
    </row>
    <row r="190">
      <c r="A190" s="3" t="n"/>
      <c r="B190" s="4" t="n"/>
      <c r="C190" s="3" t="n"/>
      <c r="D190" s="3" t="n"/>
      <c r="E190" s="3">
        <f>IF(D190="","",D190*0.75)</f>
        <v/>
      </c>
      <c r="F190" s="3">
        <f>IF(D190="","",F189+D190)</f>
        <v/>
      </c>
      <c r="G190" s="3">
        <f>IF(D190="","",G189+D190*0.75)</f>
        <v/>
      </c>
    </row>
    <row r="191">
      <c r="A191" s="3" t="n"/>
      <c r="B191" s="4" t="n"/>
      <c r="C191" s="3" t="n"/>
      <c r="D191" s="3" t="n"/>
      <c r="E191" s="3">
        <f>IF(D191="","",D191*0.75)</f>
        <v/>
      </c>
      <c r="F191" s="3">
        <f>IF(D191="","",F190+D191)</f>
        <v/>
      </c>
      <c r="G191" s="3">
        <f>IF(D191="","",G190+D191*0.75)</f>
        <v/>
      </c>
    </row>
    <row r="192">
      <c r="A192" s="3" t="n"/>
      <c r="B192" s="4" t="n"/>
      <c r="C192" s="3" t="n"/>
      <c r="D192" s="3" t="n"/>
      <c r="E192" s="3">
        <f>IF(D192="","",D192*0.75)</f>
        <v/>
      </c>
      <c r="F192" s="3">
        <f>IF(D192="","",F191+D192)</f>
        <v/>
      </c>
      <c r="G192" s="3">
        <f>IF(D192="","",G191+D192*0.75)</f>
        <v/>
      </c>
    </row>
    <row r="193">
      <c r="A193" s="3" t="n"/>
      <c r="B193" s="4" t="n"/>
      <c r="C193" s="3" t="n"/>
      <c r="D193" s="3" t="n"/>
      <c r="E193" s="3">
        <f>IF(D193="","",D193*0.75)</f>
        <v/>
      </c>
      <c r="F193" s="3">
        <f>IF(D193="","",F192+D193)</f>
        <v/>
      </c>
      <c r="G193" s="3">
        <f>IF(D193="","",G192+D193*0.75)</f>
        <v/>
      </c>
    </row>
    <row r="194">
      <c r="A194" s="3" t="n"/>
      <c r="B194" s="4" t="n"/>
      <c r="C194" s="3" t="n"/>
      <c r="D194" s="3" t="n"/>
      <c r="E194" s="3">
        <f>IF(D194="","",D194*0.75)</f>
        <v/>
      </c>
      <c r="F194" s="3">
        <f>IF(D194="","",F193+D194)</f>
        <v/>
      </c>
      <c r="G194" s="3">
        <f>IF(D194="","",G193+D194*0.75)</f>
        <v/>
      </c>
    </row>
    <row r="195">
      <c r="A195" s="3" t="n"/>
      <c r="B195" s="4" t="n"/>
      <c r="C195" s="3" t="n"/>
      <c r="D195" s="3" t="n"/>
      <c r="E195" s="3">
        <f>IF(D195="","",D195*0.75)</f>
        <v/>
      </c>
      <c r="F195" s="3">
        <f>IF(D195="","",F194+D195)</f>
        <v/>
      </c>
      <c r="G195" s="3">
        <f>IF(D195="","",G194+D195*0.75)</f>
        <v/>
      </c>
    </row>
    <row r="196">
      <c r="A196" s="3" t="n"/>
      <c r="B196" s="4" t="n"/>
      <c r="C196" s="3" t="n"/>
      <c r="D196" s="3" t="n"/>
      <c r="E196" s="3">
        <f>IF(D196="","",D196*0.75)</f>
        <v/>
      </c>
      <c r="F196" s="3">
        <f>IF(D196="","",F195+D196)</f>
        <v/>
      </c>
      <c r="G196" s="3">
        <f>IF(D196="","",G195+D196*0.75)</f>
        <v/>
      </c>
    </row>
    <row r="197">
      <c r="A197" s="3" t="n"/>
      <c r="B197" s="4" t="n"/>
      <c r="C197" s="3" t="n"/>
      <c r="D197" s="3" t="n"/>
      <c r="E197" s="3">
        <f>IF(D197="","",D197*0.75)</f>
        <v/>
      </c>
      <c r="F197" s="3">
        <f>IF(D197="","",F196+D197)</f>
        <v/>
      </c>
      <c r="G197" s="3">
        <f>IF(D197="","",G196+D197*0.75)</f>
        <v/>
      </c>
    </row>
    <row r="198">
      <c r="A198" s="3" t="n"/>
      <c r="B198" s="4" t="n"/>
      <c r="C198" s="3" t="n"/>
      <c r="D198" s="3" t="n"/>
      <c r="E198" s="3">
        <f>IF(D198="","",D198*0.75)</f>
        <v/>
      </c>
      <c r="F198" s="3">
        <f>IF(D198="","",F197+D198)</f>
        <v/>
      </c>
      <c r="G198" s="3">
        <f>IF(D198="","",G197+D198*0.75)</f>
        <v/>
      </c>
    </row>
    <row r="199">
      <c r="A199" s="3" t="n"/>
      <c r="B199" s="4" t="n"/>
      <c r="C199" s="3" t="n"/>
      <c r="D199" s="3" t="n"/>
      <c r="E199" s="3">
        <f>IF(D199="","",D199*0.75)</f>
        <v/>
      </c>
      <c r="F199" s="3">
        <f>IF(D199="","",F198+D199)</f>
        <v/>
      </c>
      <c r="G199" s="3">
        <f>IF(D199="","",G198+D199*0.75)</f>
        <v/>
      </c>
    </row>
    <row r="200">
      <c r="A200" s="3" t="n"/>
      <c r="B200" s="4" t="n"/>
      <c r="C200" s="3" t="n"/>
      <c r="D200" s="3" t="n"/>
      <c r="E200" s="3">
        <f>IF(D200="","",D200*0.75)</f>
        <v/>
      </c>
      <c r="F200" s="3">
        <f>IF(D200="","",F199+D200)</f>
        <v/>
      </c>
      <c r="G200" s="3">
        <f>IF(D200="","",G199+D200*0.75)</f>
        <v/>
      </c>
    </row>
    <row r="201">
      <c r="A201" s="3" t="n"/>
      <c r="B201" s="4" t="n"/>
      <c r="C201" s="3" t="n"/>
      <c r="D201" s="3" t="n"/>
      <c r="E201" s="3">
        <f>IF(D201="","",D201*0.75)</f>
        <v/>
      </c>
      <c r="F201" s="3">
        <f>IF(D201="","",F200+D201)</f>
        <v/>
      </c>
      <c r="G201" s="3">
        <f>IF(D201="","",G200+D201*0.75)</f>
        <v/>
      </c>
    </row>
    <row r="202">
      <c r="A202" s="3" t="n"/>
      <c r="B202" s="4" t="n"/>
      <c r="C202" s="3" t="n"/>
      <c r="D202" s="3" t="n"/>
      <c r="E202" s="3">
        <f>IF(D202="","",D202*0.75)</f>
        <v/>
      </c>
      <c r="F202" s="3">
        <f>IF(D202="","",F201+D202)</f>
        <v/>
      </c>
      <c r="G202" s="3">
        <f>IF(D202="","",G201+D202*0.75)</f>
        <v/>
      </c>
    </row>
    <row r="203">
      <c r="A203" s="3" t="n"/>
      <c r="B203" s="4" t="n"/>
      <c r="C203" s="3" t="n"/>
      <c r="D203" s="3" t="n"/>
      <c r="E203" s="3">
        <f>IF(D203="","",D203*0.75)</f>
        <v/>
      </c>
      <c r="F203" s="3">
        <f>IF(D203="","",F202+D203)</f>
        <v/>
      </c>
      <c r="G203" s="3">
        <f>IF(D203="","",G202+D203*0.75)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26" customWidth="1" min="5" max="5"/>
    <col width="22" customWidth="1" min="6" max="6"/>
    <col width="26" customWidth="1" min="7" max="7"/>
    <col width="36" customWidth="1" min="8" max="8"/>
  </cols>
  <sheetData>
    <row r="1" ht="22" customHeight="1">
      <c r="A1" s="1" t="inlineStr">
        <is>
          <t>Bottle Usage Detail — Where Each Bottle Went</t>
        </is>
      </c>
    </row>
    <row r="2">
      <c r="A2" s="5" t="inlineStr">
        <is>
          <t>Log every bottle here. Litres auto-calculate (1 bottle = 750ml).</t>
        </is>
      </c>
    </row>
    <row r="4" ht="28" customHeight="1">
      <c r="A4" s="2" t="inlineStr">
        <is>
          <t>Date</t>
        </is>
      </c>
      <c r="B4" s="2" t="inlineStr">
        <is>
          <t>Category</t>
        </is>
      </c>
      <c r="C4" s="2" t="inlineStr">
        <is>
          <t>Bottles Used</t>
        </is>
      </c>
      <c r="D4" s="2" t="inlineStr">
        <is>
          <t>Litres</t>
        </is>
      </c>
      <c r="E4" s="2" t="inlineStr">
        <is>
          <t>Recipient / Restaurant</t>
        </is>
      </c>
      <c r="F4" s="2" t="inlineStr">
        <is>
          <t>Location / City</t>
        </is>
      </c>
      <c r="G4" s="2" t="inlineStr">
        <is>
          <t>Purpose</t>
        </is>
      </c>
      <c r="H4" s="2" t="inlineStr">
        <is>
          <t>Notes</t>
        </is>
      </c>
    </row>
    <row r="5">
      <c r="A5" s="4" t="inlineStr">
        <is>
          <t>2026-04-16</t>
        </is>
      </c>
      <c r="B5" s="4" t="inlineStr">
        <is>
          <t>Tasting</t>
        </is>
      </c>
      <c r="C5" s="4" t="n">
        <v>1</v>
      </c>
      <c r="D5" s="4">
        <f>IF(C5="","",C5*0.75)</f>
        <v/>
      </c>
      <c r="E5" s="4" t="inlineStr">
        <is>
          <t>Lailey Winery</t>
        </is>
      </c>
      <c r="F5" s="4" t="inlineStr">
        <is>
          <t>Niagara-on-the-Lake</t>
        </is>
      </c>
      <c r="G5" s="4" t="inlineStr">
        <is>
          <t>Sample for cellar reference</t>
        </is>
      </c>
      <c r="H5" s="4" t="inlineStr">
        <is>
          <t>Opened to verify bottle integrity</t>
        </is>
      </c>
    </row>
    <row r="6">
      <c r="A6" s="4" t="n"/>
      <c r="B6" s="4" t="n"/>
      <c r="C6" s="4" t="n"/>
      <c r="D6" s="4">
        <f>IF(C6="","",C6*0.75)</f>
        <v/>
      </c>
      <c r="E6" s="4" t="n"/>
      <c r="F6" s="4" t="n"/>
      <c r="G6" s="4" t="n"/>
      <c r="H6" s="4" t="n"/>
    </row>
    <row r="7">
      <c r="A7" s="4" t="n"/>
      <c r="B7" s="4" t="n"/>
      <c r="C7" s="4" t="n"/>
      <c r="D7" s="4">
        <f>IF(C7="","",C7*0.75)</f>
        <v/>
      </c>
      <c r="E7" s="4" t="n"/>
      <c r="F7" s="4" t="n"/>
      <c r="G7" s="4" t="n"/>
      <c r="H7" s="4" t="n"/>
    </row>
    <row r="8">
      <c r="A8" s="4" t="n"/>
      <c r="B8" s="4" t="n"/>
      <c r="C8" s="4" t="n"/>
      <c r="D8" s="4">
        <f>IF(C8="","",C8*0.75)</f>
        <v/>
      </c>
      <c r="E8" s="4" t="n"/>
      <c r="F8" s="4" t="n"/>
      <c r="G8" s="4" t="n"/>
      <c r="H8" s="4" t="n"/>
    </row>
    <row r="9">
      <c r="A9" s="4" t="n"/>
      <c r="B9" s="4" t="n"/>
      <c r="C9" s="4" t="n"/>
      <c r="D9" s="4">
        <f>IF(C9="","",C9*0.75)</f>
        <v/>
      </c>
      <c r="E9" s="4" t="n"/>
      <c r="F9" s="4" t="n"/>
      <c r="G9" s="4" t="n"/>
      <c r="H9" s="4" t="n"/>
    </row>
    <row r="10">
      <c r="A10" s="4" t="n"/>
      <c r="B10" s="4" t="n"/>
      <c r="C10" s="4" t="n"/>
      <c r="D10" s="4">
        <f>IF(C10="","",C10*0.75)</f>
        <v/>
      </c>
      <c r="E10" s="4" t="n"/>
      <c r="F10" s="4" t="n"/>
      <c r="G10" s="4" t="n"/>
      <c r="H10" s="4" t="n"/>
    </row>
    <row r="11">
      <c r="A11" s="4" t="n"/>
      <c r="B11" s="4" t="n"/>
      <c r="C11" s="4" t="n"/>
      <c r="D11" s="4">
        <f>IF(C11="","",C11*0.75)</f>
        <v/>
      </c>
      <c r="E11" s="4" t="n"/>
      <c r="F11" s="4" t="n"/>
      <c r="G11" s="4" t="n"/>
      <c r="H11" s="4" t="n"/>
    </row>
    <row r="12">
      <c r="A12" s="4" t="n"/>
      <c r="B12" s="4" t="n"/>
      <c r="C12" s="4" t="n"/>
      <c r="D12" s="4">
        <f>IF(C12="","",C12*0.75)</f>
        <v/>
      </c>
      <c r="E12" s="4" t="n"/>
      <c r="F12" s="4" t="n"/>
      <c r="G12" s="4" t="n"/>
      <c r="H12" s="4" t="n"/>
    </row>
    <row r="13">
      <c r="A13" s="4" t="n"/>
      <c r="B13" s="4" t="n"/>
      <c r="C13" s="4" t="n"/>
      <c r="D13" s="4">
        <f>IF(C13="","",C13*0.75)</f>
        <v/>
      </c>
      <c r="E13" s="4" t="n"/>
      <c r="F13" s="4" t="n"/>
      <c r="G13" s="4" t="n"/>
      <c r="H13" s="4" t="n"/>
    </row>
    <row r="14">
      <c r="A14" s="4" t="n"/>
      <c r="B14" s="4" t="n"/>
      <c r="C14" s="4" t="n"/>
      <c r="D14" s="4">
        <f>IF(C14="","",C14*0.75)</f>
        <v/>
      </c>
      <c r="E14" s="4" t="n"/>
      <c r="F14" s="4" t="n"/>
      <c r="G14" s="4" t="n"/>
      <c r="H14" s="4" t="n"/>
    </row>
    <row r="15">
      <c r="A15" s="4" t="n"/>
      <c r="B15" s="4" t="n"/>
      <c r="C15" s="4" t="n"/>
      <c r="D15" s="4">
        <f>IF(C15="","",C15*0.75)</f>
        <v/>
      </c>
      <c r="E15" s="4" t="n"/>
      <c r="F15" s="4" t="n"/>
      <c r="G15" s="4" t="n"/>
      <c r="H15" s="4" t="n"/>
    </row>
    <row r="16">
      <c r="A16" s="4" t="n"/>
      <c r="B16" s="4" t="n"/>
      <c r="C16" s="4" t="n"/>
      <c r="D16" s="4">
        <f>IF(C16="","",C16*0.75)</f>
        <v/>
      </c>
      <c r="E16" s="4" t="n"/>
      <c r="F16" s="4" t="n"/>
      <c r="G16" s="4" t="n"/>
      <c r="H16" s="4" t="n"/>
    </row>
    <row r="17">
      <c r="A17" s="4" t="n"/>
      <c r="B17" s="4" t="n"/>
      <c r="C17" s="4" t="n"/>
      <c r="D17" s="4">
        <f>IF(C17="","",C17*0.75)</f>
        <v/>
      </c>
      <c r="E17" s="4" t="n"/>
      <c r="F17" s="4" t="n"/>
      <c r="G17" s="4" t="n"/>
      <c r="H17" s="4" t="n"/>
    </row>
    <row r="18">
      <c r="A18" s="4" t="n"/>
      <c r="B18" s="4" t="n"/>
      <c r="C18" s="4" t="n"/>
      <c r="D18" s="4">
        <f>IF(C18="","",C18*0.75)</f>
        <v/>
      </c>
      <c r="E18" s="4" t="n"/>
      <c r="F18" s="4" t="n"/>
      <c r="G18" s="4" t="n"/>
      <c r="H18" s="4" t="n"/>
    </row>
    <row r="19">
      <c r="A19" s="4" t="n"/>
      <c r="B19" s="4" t="n"/>
      <c r="C19" s="4" t="n"/>
      <c r="D19" s="4">
        <f>IF(C19="","",C19*0.75)</f>
        <v/>
      </c>
      <c r="E19" s="4" t="n"/>
      <c r="F19" s="4" t="n"/>
      <c r="G19" s="4" t="n"/>
      <c r="H19" s="4" t="n"/>
    </row>
    <row r="20">
      <c r="A20" s="4" t="n"/>
      <c r="B20" s="4" t="n"/>
      <c r="C20" s="4" t="n"/>
      <c r="D20" s="4">
        <f>IF(C20="","",C20*0.75)</f>
        <v/>
      </c>
      <c r="E20" s="4" t="n"/>
      <c r="F20" s="4" t="n"/>
      <c r="G20" s="4" t="n"/>
      <c r="H20" s="4" t="n"/>
    </row>
    <row r="21">
      <c r="A21" s="4" t="n"/>
      <c r="B21" s="4" t="n"/>
      <c r="C21" s="4" t="n"/>
      <c r="D21" s="4">
        <f>IF(C21="","",C21*0.75)</f>
        <v/>
      </c>
      <c r="E21" s="4" t="n"/>
      <c r="F21" s="4" t="n"/>
      <c r="G21" s="4" t="n"/>
      <c r="H21" s="4" t="n"/>
    </row>
    <row r="22">
      <c r="A22" s="4" t="n"/>
      <c r="B22" s="4" t="n"/>
      <c r="C22" s="4" t="n"/>
      <c r="D22" s="4">
        <f>IF(C22="","",C22*0.75)</f>
        <v/>
      </c>
      <c r="E22" s="4" t="n"/>
      <c r="F22" s="4" t="n"/>
      <c r="G22" s="4" t="n"/>
      <c r="H22" s="4" t="n"/>
    </row>
    <row r="23">
      <c r="A23" s="4" t="n"/>
      <c r="B23" s="4" t="n"/>
      <c r="C23" s="4" t="n"/>
      <c r="D23" s="4">
        <f>IF(C23="","",C23*0.75)</f>
        <v/>
      </c>
      <c r="E23" s="4" t="n"/>
      <c r="F23" s="4" t="n"/>
      <c r="G23" s="4" t="n"/>
      <c r="H23" s="4" t="n"/>
    </row>
    <row r="24">
      <c r="A24" s="4" t="n"/>
      <c r="B24" s="4" t="n"/>
      <c r="C24" s="4" t="n"/>
      <c r="D24" s="4">
        <f>IF(C24="","",C24*0.75)</f>
        <v/>
      </c>
      <c r="E24" s="4" t="n"/>
      <c r="F24" s="4" t="n"/>
      <c r="G24" s="4" t="n"/>
      <c r="H24" s="4" t="n"/>
    </row>
    <row r="25">
      <c r="A25" s="4" t="n"/>
      <c r="B25" s="4" t="n"/>
      <c r="C25" s="4" t="n"/>
      <c r="D25" s="4">
        <f>IF(C25="","",C25*0.75)</f>
        <v/>
      </c>
      <c r="E25" s="4" t="n"/>
      <c r="F25" s="4" t="n"/>
      <c r="G25" s="4" t="n"/>
      <c r="H25" s="4" t="n"/>
    </row>
    <row r="26">
      <c r="A26" s="4" t="n"/>
      <c r="B26" s="4" t="n"/>
      <c r="C26" s="4" t="n"/>
      <c r="D26" s="4">
        <f>IF(C26="","",C26*0.75)</f>
        <v/>
      </c>
      <c r="E26" s="4" t="n"/>
      <c r="F26" s="4" t="n"/>
      <c r="G26" s="4" t="n"/>
      <c r="H26" s="4" t="n"/>
    </row>
    <row r="27">
      <c r="A27" s="4" t="n"/>
      <c r="B27" s="4" t="n"/>
      <c r="C27" s="4" t="n"/>
      <c r="D27" s="4">
        <f>IF(C27="","",C27*0.75)</f>
        <v/>
      </c>
      <c r="E27" s="4" t="n"/>
      <c r="F27" s="4" t="n"/>
      <c r="G27" s="4" t="n"/>
      <c r="H27" s="4" t="n"/>
    </row>
    <row r="28">
      <c r="A28" s="4" t="n"/>
      <c r="B28" s="4" t="n"/>
      <c r="C28" s="4" t="n"/>
      <c r="D28" s="4">
        <f>IF(C28="","",C28*0.75)</f>
        <v/>
      </c>
      <c r="E28" s="4" t="n"/>
      <c r="F28" s="4" t="n"/>
      <c r="G28" s="4" t="n"/>
      <c r="H28" s="4" t="n"/>
    </row>
    <row r="29">
      <c r="A29" s="4" t="n"/>
      <c r="B29" s="4" t="n"/>
      <c r="C29" s="4" t="n"/>
      <c r="D29" s="4">
        <f>IF(C29="","",C29*0.75)</f>
        <v/>
      </c>
      <c r="E29" s="4" t="n"/>
      <c r="F29" s="4" t="n"/>
      <c r="G29" s="4" t="n"/>
      <c r="H29" s="4" t="n"/>
    </row>
    <row r="30">
      <c r="A30" s="4" t="n"/>
      <c r="B30" s="4" t="n"/>
      <c r="C30" s="4" t="n"/>
      <c r="D30" s="4">
        <f>IF(C30="","",C30*0.75)</f>
        <v/>
      </c>
      <c r="E30" s="4" t="n"/>
      <c r="F30" s="4" t="n"/>
      <c r="G30" s="4" t="n"/>
      <c r="H30" s="4" t="n"/>
    </row>
    <row r="31">
      <c r="A31" s="4" t="n"/>
      <c r="B31" s="4" t="n"/>
      <c r="C31" s="4" t="n"/>
      <c r="D31" s="4">
        <f>IF(C31="","",C31*0.75)</f>
        <v/>
      </c>
      <c r="E31" s="4" t="n"/>
      <c r="F31" s="4" t="n"/>
      <c r="G31" s="4" t="n"/>
      <c r="H31" s="4" t="n"/>
    </row>
    <row r="32">
      <c r="A32" s="4" t="n"/>
      <c r="B32" s="4" t="n"/>
      <c r="C32" s="4" t="n"/>
      <c r="D32" s="4">
        <f>IF(C32="","",C32*0.75)</f>
        <v/>
      </c>
      <c r="E32" s="4" t="n"/>
      <c r="F32" s="4" t="n"/>
      <c r="G32" s="4" t="n"/>
      <c r="H32" s="4" t="n"/>
    </row>
    <row r="33">
      <c r="A33" s="4" t="n"/>
      <c r="B33" s="4" t="n"/>
      <c r="C33" s="4" t="n"/>
      <c r="D33" s="4">
        <f>IF(C33="","",C33*0.75)</f>
        <v/>
      </c>
      <c r="E33" s="4" t="n"/>
      <c r="F33" s="4" t="n"/>
      <c r="G33" s="4" t="n"/>
      <c r="H33" s="4" t="n"/>
    </row>
    <row r="34">
      <c r="A34" s="4" t="n"/>
      <c r="B34" s="4" t="n"/>
      <c r="C34" s="4" t="n"/>
      <c r="D34" s="4">
        <f>IF(C34="","",C34*0.75)</f>
        <v/>
      </c>
      <c r="E34" s="4" t="n"/>
      <c r="F34" s="4" t="n"/>
      <c r="G34" s="4" t="n"/>
      <c r="H34" s="4" t="n"/>
    </row>
    <row r="35">
      <c r="A35" s="4" t="n"/>
      <c r="B35" s="4" t="n"/>
      <c r="C35" s="4" t="n"/>
      <c r="D35" s="4">
        <f>IF(C35="","",C35*0.75)</f>
        <v/>
      </c>
      <c r="E35" s="4" t="n"/>
      <c r="F35" s="4" t="n"/>
      <c r="G35" s="4" t="n"/>
      <c r="H35" s="4" t="n"/>
    </row>
    <row r="36">
      <c r="A36" s="4" t="n"/>
      <c r="B36" s="4" t="n"/>
      <c r="C36" s="4" t="n"/>
      <c r="D36" s="4">
        <f>IF(C36="","",C36*0.75)</f>
        <v/>
      </c>
      <c r="E36" s="4" t="n"/>
      <c r="F36" s="4" t="n"/>
      <c r="G36" s="4" t="n"/>
      <c r="H36" s="4" t="n"/>
    </row>
    <row r="37">
      <c r="A37" s="4" t="n"/>
      <c r="B37" s="4" t="n"/>
      <c r="C37" s="4" t="n"/>
      <c r="D37" s="4">
        <f>IF(C37="","",C37*0.75)</f>
        <v/>
      </c>
      <c r="E37" s="4" t="n"/>
      <c r="F37" s="4" t="n"/>
      <c r="G37" s="4" t="n"/>
      <c r="H37" s="4" t="n"/>
    </row>
    <row r="38">
      <c r="A38" s="4" t="n"/>
      <c r="B38" s="4" t="n"/>
      <c r="C38" s="4" t="n"/>
      <c r="D38" s="4">
        <f>IF(C38="","",C38*0.75)</f>
        <v/>
      </c>
      <c r="E38" s="4" t="n"/>
      <c r="F38" s="4" t="n"/>
      <c r="G38" s="4" t="n"/>
      <c r="H38" s="4" t="n"/>
    </row>
    <row r="39">
      <c r="A39" s="4" t="n"/>
      <c r="B39" s="4" t="n"/>
      <c r="C39" s="4" t="n"/>
      <c r="D39" s="4">
        <f>IF(C39="","",C39*0.75)</f>
        <v/>
      </c>
      <c r="E39" s="4" t="n"/>
      <c r="F39" s="4" t="n"/>
      <c r="G39" s="4" t="n"/>
      <c r="H39" s="4" t="n"/>
    </row>
    <row r="40">
      <c r="A40" s="4" t="n"/>
      <c r="B40" s="4" t="n"/>
      <c r="C40" s="4" t="n"/>
      <c r="D40" s="4">
        <f>IF(C40="","",C40*0.75)</f>
        <v/>
      </c>
      <c r="E40" s="4" t="n"/>
      <c r="F40" s="4" t="n"/>
      <c r="G40" s="4" t="n"/>
      <c r="H40" s="4" t="n"/>
    </row>
    <row r="41">
      <c r="A41" s="4" t="n"/>
      <c r="B41" s="4" t="n"/>
      <c r="C41" s="4" t="n"/>
      <c r="D41" s="4">
        <f>IF(C41="","",C41*0.75)</f>
        <v/>
      </c>
      <c r="E41" s="4" t="n"/>
      <c r="F41" s="4" t="n"/>
      <c r="G41" s="4" t="n"/>
      <c r="H41" s="4" t="n"/>
    </row>
    <row r="42">
      <c r="A42" s="4" t="n"/>
      <c r="B42" s="4" t="n"/>
      <c r="C42" s="4" t="n"/>
      <c r="D42" s="4">
        <f>IF(C42="","",C42*0.75)</f>
        <v/>
      </c>
      <c r="E42" s="4" t="n"/>
      <c r="F42" s="4" t="n"/>
      <c r="G42" s="4" t="n"/>
      <c r="H42" s="4" t="n"/>
    </row>
    <row r="43">
      <c r="A43" s="4" t="n"/>
      <c r="B43" s="4" t="n"/>
      <c r="C43" s="4" t="n"/>
      <c r="D43" s="4">
        <f>IF(C43="","",C43*0.75)</f>
        <v/>
      </c>
      <c r="E43" s="4" t="n"/>
      <c r="F43" s="4" t="n"/>
      <c r="G43" s="4" t="n"/>
      <c r="H43" s="4" t="n"/>
    </row>
    <row r="44">
      <c r="A44" s="4" t="n"/>
      <c r="B44" s="4" t="n"/>
      <c r="C44" s="4" t="n"/>
      <c r="D44" s="4">
        <f>IF(C44="","",C44*0.75)</f>
        <v/>
      </c>
      <c r="E44" s="4" t="n"/>
      <c r="F44" s="4" t="n"/>
      <c r="G44" s="4" t="n"/>
      <c r="H44" s="4" t="n"/>
    </row>
    <row r="45">
      <c r="A45" s="4" t="n"/>
      <c r="B45" s="4" t="n"/>
      <c r="C45" s="4" t="n"/>
      <c r="D45" s="4">
        <f>IF(C45="","",C45*0.75)</f>
        <v/>
      </c>
      <c r="E45" s="4" t="n"/>
      <c r="F45" s="4" t="n"/>
      <c r="G45" s="4" t="n"/>
      <c r="H45" s="4" t="n"/>
    </row>
    <row r="46">
      <c r="A46" s="4" t="n"/>
      <c r="B46" s="4" t="n"/>
      <c r="C46" s="4" t="n"/>
      <c r="D46" s="4">
        <f>IF(C46="","",C46*0.75)</f>
        <v/>
      </c>
      <c r="E46" s="4" t="n"/>
      <c r="F46" s="4" t="n"/>
      <c r="G46" s="4" t="n"/>
      <c r="H46" s="4" t="n"/>
    </row>
    <row r="47">
      <c r="A47" s="4" t="n"/>
      <c r="B47" s="4" t="n"/>
      <c r="C47" s="4" t="n"/>
      <c r="D47" s="4">
        <f>IF(C47="","",C47*0.75)</f>
        <v/>
      </c>
      <c r="E47" s="4" t="n"/>
      <c r="F47" s="4" t="n"/>
      <c r="G47" s="4" t="n"/>
      <c r="H47" s="4" t="n"/>
    </row>
    <row r="48">
      <c r="A48" s="4" t="n"/>
      <c r="B48" s="4" t="n"/>
      <c r="C48" s="4" t="n"/>
      <c r="D48" s="4">
        <f>IF(C48="","",C48*0.75)</f>
        <v/>
      </c>
      <c r="E48" s="4" t="n"/>
      <c r="F48" s="4" t="n"/>
      <c r="G48" s="4" t="n"/>
      <c r="H48" s="4" t="n"/>
    </row>
    <row r="49">
      <c r="A49" s="4" t="n"/>
      <c r="B49" s="4" t="n"/>
      <c r="C49" s="4" t="n"/>
      <c r="D49" s="4">
        <f>IF(C49="","",C49*0.75)</f>
        <v/>
      </c>
      <c r="E49" s="4" t="n"/>
      <c r="F49" s="4" t="n"/>
      <c r="G49" s="4" t="n"/>
      <c r="H49" s="4" t="n"/>
    </row>
    <row r="50">
      <c r="A50" s="4" t="n"/>
      <c r="B50" s="4" t="n"/>
      <c r="C50" s="4" t="n"/>
      <c r="D50" s="4">
        <f>IF(C50="","",C50*0.75)</f>
        <v/>
      </c>
      <c r="E50" s="4" t="n"/>
      <c r="F50" s="4" t="n"/>
      <c r="G50" s="4" t="n"/>
      <c r="H50" s="4" t="n"/>
    </row>
    <row r="51">
      <c r="A51" s="4" t="n"/>
      <c r="B51" s="4" t="n"/>
      <c r="C51" s="4" t="n"/>
      <c r="D51" s="4">
        <f>IF(C51="","",C51*0.75)</f>
        <v/>
      </c>
      <c r="E51" s="4" t="n"/>
      <c r="F51" s="4" t="n"/>
      <c r="G51" s="4" t="n"/>
      <c r="H51" s="4" t="n"/>
    </row>
    <row r="52">
      <c r="A52" s="4" t="n"/>
      <c r="B52" s="4" t="n"/>
      <c r="C52" s="4" t="n"/>
      <c r="D52" s="4">
        <f>IF(C52="","",C52*0.75)</f>
        <v/>
      </c>
      <c r="E52" s="4" t="n"/>
      <c r="F52" s="4" t="n"/>
      <c r="G52" s="4" t="n"/>
      <c r="H52" s="4" t="n"/>
    </row>
    <row r="53">
      <c r="A53" s="4" t="n"/>
      <c r="B53" s="4" t="n"/>
      <c r="C53" s="4" t="n"/>
      <c r="D53" s="4">
        <f>IF(C53="","",C53*0.75)</f>
        <v/>
      </c>
      <c r="E53" s="4" t="n"/>
      <c r="F53" s="4" t="n"/>
      <c r="G53" s="4" t="n"/>
      <c r="H53" s="4" t="n"/>
    </row>
    <row r="54">
      <c r="A54" s="4" t="n"/>
      <c r="B54" s="4" t="n"/>
      <c r="C54" s="4" t="n"/>
      <c r="D54" s="4">
        <f>IF(C54="","",C54*0.75)</f>
        <v/>
      </c>
      <c r="E54" s="4" t="n"/>
      <c r="F54" s="4" t="n"/>
      <c r="G54" s="4" t="n"/>
      <c r="H54" s="4" t="n"/>
    </row>
    <row r="55">
      <c r="A55" s="4" t="n"/>
      <c r="B55" s="4" t="n"/>
      <c r="C55" s="4" t="n"/>
      <c r="D55" s="4">
        <f>IF(C55="","",C55*0.75)</f>
        <v/>
      </c>
      <c r="E55" s="4" t="n"/>
      <c r="F55" s="4" t="n"/>
      <c r="G55" s="4" t="n"/>
      <c r="H55" s="4" t="n"/>
    </row>
    <row r="56">
      <c r="A56" s="4" t="n"/>
      <c r="B56" s="4" t="n"/>
      <c r="C56" s="4" t="n"/>
      <c r="D56" s="4">
        <f>IF(C56="","",C56*0.75)</f>
        <v/>
      </c>
      <c r="E56" s="4" t="n"/>
      <c r="F56" s="4" t="n"/>
      <c r="G56" s="4" t="n"/>
      <c r="H56" s="4" t="n"/>
    </row>
    <row r="57">
      <c r="A57" s="4" t="n"/>
      <c r="B57" s="4" t="n"/>
      <c r="C57" s="4" t="n"/>
      <c r="D57" s="4">
        <f>IF(C57="","",C57*0.75)</f>
        <v/>
      </c>
      <c r="E57" s="4" t="n"/>
      <c r="F57" s="4" t="n"/>
      <c r="G57" s="4" t="n"/>
      <c r="H57" s="4" t="n"/>
    </row>
    <row r="58">
      <c r="A58" s="4" t="n"/>
      <c r="B58" s="4" t="n"/>
      <c r="C58" s="4" t="n"/>
      <c r="D58" s="4">
        <f>IF(C58="","",C58*0.75)</f>
        <v/>
      </c>
      <c r="E58" s="4" t="n"/>
      <c r="F58" s="4" t="n"/>
      <c r="G58" s="4" t="n"/>
      <c r="H58" s="4" t="n"/>
    </row>
    <row r="59">
      <c r="A59" s="4" t="n"/>
      <c r="B59" s="4" t="n"/>
      <c r="C59" s="4" t="n"/>
      <c r="D59" s="4">
        <f>IF(C59="","",C59*0.75)</f>
        <v/>
      </c>
      <c r="E59" s="4" t="n"/>
      <c r="F59" s="4" t="n"/>
      <c r="G59" s="4" t="n"/>
      <c r="H59" s="4" t="n"/>
    </row>
    <row r="60">
      <c r="A60" s="4" t="n"/>
      <c r="B60" s="4" t="n"/>
      <c r="C60" s="4" t="n"/>
      <c r="D60" s="4">
        <f>IF(C60="","",C60*0.75)</f>
        <v/>
      </c>
      <c r="E60" s="4" t="n"/>
      <c r="F60" s="4" t="n"/>
      <c r="G60" s="4" t="n"/>
      <c r="H60" s="4" t="n"/>
    </row>
    <row r="61">
      <c r="A61" s="4" t="n"/>
      <c r="B61" s="4" t="n"/>
      <c r="C61" s="4" t="n"/>
      <c r="D61" s="4">
        <f>IF(C61="","",C61*0.75)</f>
        <v/>
      </c>
      <c r="E61" s="4" t="n"/>
      <c r="F61" s="4" t="n"/>
      <c r="G61" s="4" t="n"/>
      <c r="H61" s="4" t="n"/>
    </row>
    <row r="62">
      <c r="A62" s="4" t="n"/>
      <c r="B62" s="4" t="n"/>
      <c r="C62" s="4" t="n"/>
      <c r="D62" s="4">
        <f>IF(C62="","",C62*0.75)</f>
        <v/>
      </c>
      <c r="E62" s="4" t="n"/>
      <c r="F62" s="4" t="n"/>
      <c r="G62" s="4" t="n"/>
      <c r="H62" s="4" t="n"/>
    </row>
    <row r="63">
      <c r="A63" s="4" t="n"/>
      <c r="B63" s="4" t="n"/>
      <c r="C63" s="4" t="n"/>
      <c r="D63" s="4">
        <f>IF(C63="","",C63*0.75)</f>
        <v/>
      </c>
      <c r="E63" s="4" t="n"/>
      <c r="F63" s="4" t="n"/>
      <c r="G63" s="4" t="n"/>
      <c r="H63" s="4" t="n"/>
    </row>
    <row r="64">
      <c r="A64" s="4" t="n"/>
      <c r="B64" s="4" t="n"/>
      <c r="C64" s="4" t="n"/>
      <c r="D64" s="4">
        <f>IF(C64="","",C64*0.75)</f>
        <v/>
      </c>
      <c r="E64" s="4" t="n"/>
      <c r="F64" s="4" t="n"/>
      <c r="G64" s="4" t="n"/>
      <c r="H64" s="4" t="n"/>
    </row>
    <row r="65">
      <c r="A65" s="4" t="n"/>
      <c r="B65" s="4" t="n"/>
      <c r="C65" s="4" t="n"/>
      <c r="D65" s="4">
        <f>IF(C65="","",C65*0.75)</f>
        <v/>
      </c>
      <c r="E65" s="4" t="n"/>
      <c r="F65" s="4" t="n"/>
      <c r="G65" s="4" t="n"/>
      <c r="H65" s="4" t="n"/>
    </row>
    <row r="66">
      <c r="A66" s="4" t="n"/>
      <c r="B66" s="4" t="n"/>
      <c r="C66" s="4" t="n"/>
      <c r="D66" s="4">
        <f>IF(C66="","",C66*0.75)</f>
        <v/>
      </c>
      <c r="E66" s="4" t="n"/>
      <c r="F66" s="4" t="n"/>
      <c r="G66" s="4" t="n"/>
      <c r="H66" s="4" t="n"/>
    </row>
    <row r="67">
      <c r="A67" s="4" t="n"/>
      <c r="B67" s="4" t="n"/>
      <c r="C67" s="4" t="n"/>
      <c r="D67" s="4">
        <f>IF(C67="","",C67*0.75)</f>
        <v/>
      </c>
      <c r="E67" s="4" t="n"/>
      <c r="F67" s="4" t="n"/>
      <c r="G67" s="4" t="n"/>
      <c r="H67" s="4" t="n"/>
    </row>
    <row r="68">
      <c r="A68" s="4" t="n"/>
      <c r="B68" s="4" t="n"/>
      <c r="C68" s="4" t="n"/>
      <c r="D68" s="4">
        <f>IF(C68="","",C68*0.75)</f>
        <v/>
      </c>
      <c r="E68" s="4" t="n"/>
      <c r="F68" s="4" t="n"/>
      <c r="G68" s="4" t="n"/>
      <c r="H68" s="4" t="n"/>
    </row>
    <row r="69">
      <c r="A69" s="4" t="n"/>
      <c r="B69" s="4" t="n"/>
      <c r="C69" s="4" t="n"/>
      <c r="D69" s="4">
        <f>IF(C69="","",C69*0.75)</f>
        <v/>
      </c>
      <c r="E69" s="4" t="n"/>
      <c r="F69" s="4" t="n"/>
      <c r="G69" s="4" t="n"/>
      <c r="H69" s="4" t="n"/>
    </row>
    <row r="70">
      <c r="A70" s="4" t="n"/>
      <c r="B70" s="4" t="n"/>
      <c r="C70" s="4" t="n"/>
      <c r="D70" s="4">
        <f>IF(C70="","",C70*0.75)</f>
        <v/>
      </c>
      <c r="E70" s="4" t="n"/>
      <c r="F70" s="4" t="n"/>
      <c r="G70" s="4" t="n"/>
      <c r="H70" s="4" t="n"/>
    </row>
    <row r="71">
      <c r="A71" s="4" t="n"/>
      <c r="B71" s="4" t="n"/>
      <c r="C71" s="4" t="n"/>
      <c r="D71" s="4">
        <f>IF(C71="","",C71*0.75)</f>
        <v/>
      </c>
      <c r="E71" s="4" t="n"/>
      <c r="F71" s="4" t="n"/>
      <c r="G71" s="4" t="n"/>
      <c r="H71" s="4" t="n"/>
    </row>
    <row r="72">
      <c r="A72" s="4" t="n"/>
      <c r="B72" s="4" t="n"/>
      <c r="C72" s="4" t="n"/>
      <c r="D72" s="4">
        <f>IF(C72="","",C72*0.75)</f>
        <v/>
      </c>
      <c r="E72" s="4" t="n"/>
      <c r="F72" s="4" t="n"/>
      <c r="G72" s="4" t="n"/>
      <c r="H72" s="4" t="n"/>
    </row>
    <row r="73">
      <c r="A73" s="4" t="n"/>
      <c r="B73" s="4" t="n"/>
      <c r="C73" s="4" t="n"/>
      <c r="D73" s="4">
        <f>IF(C73="","",C73*0.75)</f>
        <v/>
      </c>
      <c r="E73" s="4" t="n"/>
      <c r="F73" s="4" t="n"/>
      <c r="G73" s="4" t="n"/>
      <c r="H73" s="4" t="n"/>
    </row>
    <row r="74">
      <c r="A74" s="4" t="n"/>
      <c r="B74" s="4" t="n"/>
      <c r="C74" s="4" t="n"/>
      <c r="D74" s="4">
        <f>IF(C74="","",C74*0.75)</f>
        <v/>
      </c>
      <c r="E74" s="4" t="n"/>
      <c r="F74" s="4" t="n"/>
      <c r="G74" s="4" t="n"/>
      <c r="H74" s="4" t="n"/>
    </row>
    <row r="75">
      <c r="A75" s="4" t="n"/>
      <c r="B75" s="4" t="n"/>
      <c r="C75" s="4" t="n"/>
      <c r="D75" s="4">
        <f>IF(C75="","",C75*0.75)</f>
        <v/>
      </c>
      <c r="E75" s="4" t="n"/>
      <c r="F75" s="4" t="n"/>
      <c r="G75" s="4" t="n"/>
      <c r="H75" s="4" t="n"/>
    </row>
    <row r="76">
      <c r="A76" s="4" t="n"/>
      <c r="B76" s="4" t="n"/>
      <c r="C76" s="4" t="n"/>
      <c r="D76" s="4">
        <f>IF(C76="","",C76*0.75)</f>
        <v/>
      </c>
      <c r="E76" s="4" t="n"/>
      <c r="F76" s="4" t="n"/>
      <c r="G76" s="4" t="n"/>
      <c r="H76" s="4" t="n"/>
    </row>
    <row r="77">
      <c r="A77" s="4" t="n"/>
      <c r="B77" s="4" t="n"/>
      <c r="C77" s="4" t="n"/>
      <c r="D77" s="4">
        <f>IF(C77="","",C77*0.75)</f>
        <v/>
      </c>
      <c r="E77" s="4" t="n"/>
      <c r="F77" s="4" t="n"/>
      <c r="G77" s="4" t="n"/>
      <c r="H77" s="4" t="n"/>
    </row>
    <row r="78">
      <c r="A78" s="4" t="n"/>
      <c r="B78" s="4" t="n"/>
      <c r="C78" s="4" t="n"/>
      <c r="D78" s="4">
        <f>IF(C78="","",C78*0.75)</f>
        <v/>
      </c>
      <c r="E78" s="4" t="n"/>
      <c r="F78" s="4" t="n"/>
      <c r="G78" s="4" t="n"/>
      <c r="H78" s="4" t="n"/>
    </row>
    <row r="79">
      <c r="A79" s="4" t="n"/>
      <c r="B79" s="4" t="n"/>
      <c r="C79" s="4" t="n"/>
      <c r="D79" s="4">
        <f>IF(C79="","",C79*0.75)</f>
        <v/>
      </c>
      <c r="E79" s="4" t="n"/>
      <c r="F79" s="4" t="n"/>
      <c r="G79" s="4" t="n"/>
      <c r="H79" s="4" t="n"/>
    </row>
    <row r="80">
      <c r="A80" s="4" t="n"/>
      <c r="B80" s="4" t="n"/>
      <c r="C80" s="4" t="n"/>
      <c r="D80" s="4">
        <f>IF(C80="","",C80*0.75)</f>
        <v/>
      </c>
      <c r="E80" s="4" t="n"/>
      <c r="F80" s="4" t="n"/>
      <c r="G80" s="4" t="n"/>
      <c r="H80" s="4" t="n"/>
    </row>
    <row r="81">
      <c r="A81" s="4" t="n"/>
      <c r="B81" s="4" t="n"/>
      <c r="C81" s="4" t="n"/>
      <c r="D81" s="4">
        <f>IF(C81="","",C81*0.75)</f>
        <v/>
      </c>
      <c r="E81" s="4" t="n"/>
      <c r="F81" s="4" t="n"/>
      <c r="G81" s="4" t="n"/>
      <c r="H81" s="4" t="n"/>
    </row>
    <row r="82">
      <c r="A82" s="4" t="n"/>
      <c r="B82" s="4" t="n"/>
      <c r="C82" s="4" t="n"/>
      <c r="D82" s="4">
        <f>IF(C82="","",C82*0.75)</f>
        <v/>
      </c>
      <c r="E82" s="4" t="n"/>
      <c r="F82" s="4" t="n"/>
      <c r="G82" s="4" t="n"/>
      <c r="H82" s="4" t="n"/>
    </row>
    <row r="83">
      <c r="A83" s="4" t="n"/>
      <c r="B83" s="4" t="n"/>
      <c r="C83" s="4" t="n"/>
      <c r="D83" s="4">
        <f>IF(C83="","",C83*0.75)</f>
        <v/>
      </c>
      <c r="E83" s="4" t="n"/>
      <c r="F83" s="4" t="n"/>
      <c r="G83" s="4" t="n"/>
      <c r="H83" s="4" t="n"/>
    </row>
    <row r="84">
      <c r="A84" s="4" t="n"/>
      <c r="B84" s="4" t="n"/>
      <c r="C84" s="4" t="n"/>
      <c r="D84" s="4">
        <f>IF(C84="","",C84*0.75)</f>
        <v/>
      </c>
      <c r="E84" s="4" t="n"/>
      <c r="F84" s="4" t="n"/>
      <c r="G84" s="4" t="n"/>
      <c r="H84" s="4" t="n"/>
    </row>
    <row r="85">
      <c r="A85" s="4" t="n"/>
      <c r="B85" s="4" t="n"/>
      <c r="C85" s="4" t="n"/>
      <c r="D85" s="4">
        <f>IF(C85="","",C85*0.75)</f>
        <v/>
      </c>
      <c r="E85" s="4" t="n"/>
      <c r="F85" s="4" t="n"/>
      <c r="G85" s="4" t="n"/>
      <c r="H85" s="4" t="n"/>
    </row>
    <row r="86">
      <c r="A86" s="4" t="n"/>
      <c r="B86" s="4" t="n"/>
      <c r="C86" s="4" t="n"/>
      <c r="D86" s="4">
        <f>IF(C86="","",C86*0.75)</f>
        <v/>
      </c>
      <c r="E86" s="4" t="n"/>
      <c r="F86" s="4" t="n"/>
      <c r="G86" s="4" t="n"/>
      <c r="H86" s="4" t="n"/>
    </row>
    <row r="87">
      <c r="A87" s="4" t="n"/>
      <c r="B87" s="4" t="n"/>
      <c r="C87" s="4" t="n"/>
      <c r="D87" s="4">
        <f>IF(C87="","",C87*0.75)</f>
        <v/>
      </c>
      <c r="E87" s="4" t="n"/>
      <c r="F87" s="4" t="n"/>
      <c r="G87" s="4" t="n"/>
      <c r="H87" s="4" t="n"/>
    </row>
    <row r="88">
      <c r="A88" s="4" t="n"/>
      <c r="B88" s="4" t="n"/>
      <c r="C88" s="4" t="n"/>
      <c r="D88" s="4">
        <f>IF(C88="","",C88*0.75)</f>
        <v/>
      </c>
      <c r="E88" s="4" t="n"/>
      <c r="F88" s="4" t="n"/>
      <c r="G88" s="4" t="n"/>
      <c r="H88" s="4" t="n"/>
    </row>
    <row r="89">
      <c r="A89" s="4" t="n"/>
      <c r="B89" s="4" t="n"/>
      <c r="C89" s="4" t="n"/>
      <c r="D89" s="4">
        <f>IF(C89="","",C89*0.75)</f>
        <v/>
      </c>
      <c r="E89" s="4" t="n"/>
      <c r="F89" s="4" t="n"/>
      <c r="G89" s="4" t="n"/>
      <c r="H89" s="4" t="n"/>
    </row>
    <row r="90">
      <c r="A90" s="4" t="n"/>
      <c r="B90" s="4" t="n"/>
      <c r="C90" s="4" t="n"/>
      <c r="D90" s="4">
        <f>IF(C90="","",C90*0.75)</f>
        <v/>
      </c>
      <c r="E90" s="4" t="n"/>
      <c r="F90" s="4" t="n"/>
      <c r="G90" s="4" t="n"/>
      <c r="H90" s="4" t="n"/>
    </row>
    <row r="91">
      <c r="A91" s="4" t="n"/>
      <c r="B91" s="4" t="n"/>
      <c r="C91" s="4" t="n"/>
      <c r="D91" s="4">
        <f>IF(C91="","",C91*0.75)</f>
        <v/>
      </c>
      <c r="E91" s="4" t="n"/>
      <c r="F91" s="4" t="n"/>
      <c r="G91" s="4" t="n"/>
      <c r="H91" s="4" t="n"/>
    </row>
    <row r="92">
      <c r="A92" s="4" t="n"/>
      <c r="B92" s="4" t="n"/>
      <c r="C92" s="4" t="n"/>
      <c r="D92" s="4">
        <f>IF(C92="","",C92*0.75)</f>
        <v/>
      </c>
      <c r="E92" s="4" t="n"/>
      <c r="F92" s="4" t="n"/>
      <c r="G92" s="4" t="n"/>
      <c r="H92" s="4" t="n"/>
    </row>
    <row r="93">
      <c r="A93" s="4" t="n"/>
      <c r="B93" s="4" t="n"/>
      <c r="C93" s="4" t="n"/>
      <c r="D93" s="4">
        <f>IF(C93="","",C93*0.75)</f>
        <v/>
      </c>
      <c r="E93" s="4" t="n"/>
      <c r="F93" s="4" t="n"/>
      <c r="G93" s="4" t="n"/>
      <c r="H93" s="4" t="n"/>
    </row>
    <row r="94">
      <c r="A94" s="4" t="n"/>
      <c r="B94" s="4" t="n"/>
      <c r="C94" s="4" t="n"/>
      <c r="D94" s="4">
        <f>IF(C94="","",C94*0.75)</f>
        <v/>
      </c>
      <c r="E94" s="4" t="n"/>
      <c r="F94" s="4" t="n"/>
      <c r="G94" s="4" t="n"/>
      <c r="H94" s="4" t="n"/>
    </row>
    <row r="95">
      <c r="A95" s="4" t="n"/>
      <c r="B95" s="4" t="n"/>
      <c r="C95" s="4" t="n"/>
      <c r="D95" s="4">
        <f>IF(C95="","",C95*0.75)</f>
        <v/>
      </c>
      <c r="E95" s="4" t="n"/>
      <c r="F95" s="4" t="n"/>
      <c r="G95" s="4" t="n"/>
      <c r="H95" s="4" t="n"/>
    </row>
    <row r="96">
      <c r="A96" s="4" t="n"/>
      <c r="B96" s="4" t="n"/>
      <c r="C96" s="4" t="n"/>
      <c r="D96" s="4">
        <f>IF(C96="","",C96*0.75)</f>
        <v/>
      </c>
      <c r="E96" s="4" t="n"/>
      <c r="F96" s="4" t="n"/>
      <c r="G96" s="4" t="n"/>
      <c r="H96" s="4" t="n"/>
    </row>
    <row r="97">
      <c r="A97" s="4" t="n"/>
      <c r="B97" s="4" t="n"/>
      <c r="C97" s="4" t="n"/>
      <c r="D97" s="4">
        <f>IF(C97="","",C97*0.75)</f>
        <v/>
      </c>
      <c r="E97" s="4" t="n"/>
      <c r="F97" s="4" t="n"/>
      <c r="G97" s="4" t="n"/>
      <c r="H97" s="4" t="n"/>
    </row>
    <row r="98">
      <c r="A98" s="4" t="n"/>
      <c r="B98" s="4" t="n"/>
      <c r="C98" s="4" t="n"/>
      <c r="D98" s="4">
        <f>IF(C98="","",C98*0.75)</f>
        <v/>
      </c>
      <c r="E98" s="4" t="n"/>
      <c r="F98" s="4" t="n"/>
      <c r="G98" s="4" t="n"/>
      <c r="H98" s="4" t="n"/>
    </row>
    <row r="99">
      <c r="A99" s="4" t="n"/>
      <c r="B99" s="4" t="n"/>
      <c r="C99" s="4" t="n"/>
      <c r="D99" s="4">
        <f>IF(C99="","",C99*0.75)</f>
        <v/>
      </c>
      <c r="E99" s="4" t="n"/>
      <c r="F99" s="4" t="n"/>
      <c r="G99" s="4" t="n"/>
      <c r="H99" s="4" t="n"/>
    </row>
    <row r="100">
      <c r="A100" s="4" t="n"/>
      <c r="B100" s="4" t="n"/>
      <c r="C100" s="4" t="n"/>
      <c r="D100" s="4">
        <f>IF(C100="","",C100*0.75)</f>
        <v/>
      </c>
      <c r="E100" s="4" t="n"/>
      <c r="F100" s="4" t="n"/>
      <c r="G100" s="4" t="n"/>
      <c r="H100" s="4" t="n"/>
    </row>
    <row r="101">
      <c r="A101" s="4" t="n"/>
      <c r="B101" s="4" t="n"/>
      <c r="C101" s="4" t="n"/>
      <c r="D101" s="4">
        <f>IF(C101="","",C101*0.75)</f>
        <v/>
      </c>
      <c r="E101" s="4" t="n"/>
      <c r="F101" s="4" t="n"/>
      <c r="G101" s="4" t="n"/>
      <c r="H101" s="4" t="n"/>
    </row>
    <row r="102">
      <c r="A102" s="4" t="n"/>
      <c r="B102" s="4" t="n"/>
      <c r="C102" s="4" t="n"/>
      <c r="D102" s="4">
        <f>IF(C102="","",C102*0.75)</f>
        <v/>
      </c>
      <c r="E102" s="4" t="n"/>
      <c r="F102" s="4" t="n"/>
      <c r="G102" s="4" t="n"/>
      <c r="H102" s="4" t="n"/>
    </row>
    <row r="103">
      <c r="A103" s="4" t="n"/>
      <c r="B103" s="4" t="n"/>
      <c r="C103" s="4" t="n"/>
      <c r="D103" s="4">
        <f>IF(C103="","",C103*0.75)</f>
        <v/>
      </c>
      <c r="E103" s="4" t="n"/>
      <c r="F103" s="4" t="n"/>
      <c r="G103" s="4" t="n"/>
      <c r="H103" s="4" t="n"/>
    </row>
    <row r="104">
      <c r="A104" s="4" t="n"/>
      <c r="B104" s="4" t="n"/>
      <c r="C104" s="4" t="n"/>
      <c r="D104" s="4">
        <f>IF(C104="","",C104*0.75)</f>
        <v/>
      </c>
      <c r="E104" s="4" t="n"/>
      <c r="F104" s="4" t="n"/>
      <c r="G104" s="4" t="n"/>
      <c r="H104" s="4" t="n"/>
    </row>
    <row r="105">
      <c r="A105" s="4" t="n"/>
      <c r="B105" s="4" t="n"/>
      <c r="C105" s="4" t="n"/>
      <c r="D105" s="4">
        <f>IF(C105="","",C105*0.75)</f>
        <v/>
      </c>
      <c r="E105" s="4" t="n"/>
      <c r="F105" s="4" t="n"/>
      <c r="G105" s="4" t="n"/>
      <c r="H105" s="4" t="n"/>
    </row>
    <row r="106">
      <c r="A106" s="4" t="n"/>
      <c r="B106" s="4" t="n"/>
      <c r="C106" s="4" t="n"/>
      <c r="D106" s="4">
        <f>IF(C106="","",C106*0.75)</f>
        <v/>
      </c>
      <c r="E106" s="4" t="n"/>
      <c r="F106" s="4" t="n"/>
      <c r="G106" s="4" t="n"/>
      <c r="H106" s="4" t="n"/>
    </row>
    <row r="107">
      <c r="A107" s="4" t="n"/>
      <c r="B107" s="4" t="n"/>
      <c r="C107" s="4" t="n"/>
      <c r="D107" s="4">
        <f>IF(C107="","",C107*0.75)</f>
        <v/>
      </c>
      <c r="E107" s="4" t="n"/>
      <c r="F107" s="4" t="n"/>
      <c r="G107" s="4" t="n"/>
      <c r="H107" s="4" t="n"/>
    </row>
    <row r="108">
      <c r="A108" s="4" t="n"/>
      <c r="B108" s="4" t="n"/>
      <c r="C108" s="4" t="n"/>
      <c r="D108" s="4">
        <f>IF(C108="","",C108*0.75)</f>
        <v/>
      </c>
      <c r="E108" s="4" t="n"/>
      <c r="F108" s="4" t="n"/>
      <c r="G108" s="4" t="n"/>
      <c r="H108" s="4" t="n"/>
    </row>
    <row r="109">
      <c r="A109" s="4" t="n"/>
      <c r="B109" s="4" t="n"/>
      <c r="C109" s="4" t="n"/>
      <c r="D109" s="4">
        <f>IF(C109="","",C109*0.75)</f>
        <v/>
      </c>
      <c r="E109" s="4" t="n"/>
      <c r="F109" s="4" t="n"/>
      <c r="G109" s="4" t="n"/>
      <c r="H109" s="4" t="n"/>
    </row>
    <row r="110">
      <c r="A110" s="4" t="n"/>
      <c r="B110" s="4" t="n"/>
      <c r="C110" s="4" t="n"/>
      <c r="D110" s="4">
        <f>IF(C110="","",C110*0.75)</f>
        <v/>
      </c>
      <c r="E110" s="4" t="n"/>
      <c r="F110" s="4" t="n"/>
      <c r="G110" s="4" t="n"/>
      <c r="H110" s="4" t="n"/>
    </row>
    <row r="111">
      <c r="A111" s="4" t="n"/>
      <c r="B111" s="4" t="n"/>
      <c r="C111" s="4" t="n"/>
      <c r="D111" s="4">
        <f>IF(C111="","",C111*0.75)</f>
        <v/>
      </c>
      <c r="E111" s="4" t="n"/>
      <c r="F111" s="4" t="n"/>
      <c r="G111" s="4" t="n"/>
      <c r="H111" s="4" t="n"/>
    </row>
    <row r="112">
      <c r="A112" s="4" t="n"/>
      <c r="B112" s="4" t="n"/>
      <c r="C112" s="4" t="n"/>
      <c r="D112" s="4">
        <f>IF(C112="","",C112*0.75)</f>
        <v/>
      </c>
      <c r="E112" s="4" t="n"/>
      <c r="F112" s="4" t="n"/>
      <c r="G112" s="4" t="n"/>
      <c r="H112" s="4" t="n"/>
    </row>
    <row r="113">
      <c r="A113" s="4" t="n"/>
      <c r="B113" s="4" t="n"/>
      <c r="C113" s="4" t="n"/>
      <c r="D113" s="4">
        <f>IF(C113="","",C113*0.75)</f>
        <v/>
      </c>
      <c r="E113" s="4" t="n"/>
      <c r="F113" s="4" t="n"/>
      <c r="G113" s="4" t="n"/>
      <c r="H113" s="4" t="n"/>
    </row>
    <row r="114">
      <c r="A114" s="4" t="n"/>
      <c r="B114" s="4" t="n"/>
      <c r="C114" s="4" t="n"/>
      <c r="D114" s="4">
        <f>IF(C114="","",C114*0.75)</f>
        <v/>
      </c>
      <c r="E114" s="4" t="n"/>
      <c r="F114" s="4" t="n"/>
      <c r="G114" s="4" t="n"/>
      <c r="H114" s="4" t="n"/>
    </row>
    <row r="115">
      <c r="A115" s="4" t="n"/>
      <c r="B115" s="4" t="n"/>
      <c r="C115" s="4" t="n"/>
      <c r="D115" s="4">
        <f>IF(C115="","",C115*0.75)</f>
        <v/>
      </c>
      <c r="E115" s="4" t="n"/>
      <c r="F115" s="4" t="n"/>
      <c r="G115" s="4" t="n"/>
      <c r="H115" s="4" t="n"/>
    </row>
    <row r="116">
      <c r="A116" s="4" t="n"/>
      <c r="B116" s="4" t="n"/>
      <c r="C116" s="4" t="n"/>
      <c r="D116" s="4">
        <f>IF(C116="","",C116*0.75)</f>
        <v/>
      </c>
      <c r="E116" s="4" t="n"/>
      <c r="F116" s="4" t="n"/>
      <c r="G116" s="4" t="n"/>
      <c r="H116" s="4" t="n"/>
    </row>
    <row r="117">
      <c r="A117" s="4" t="n"/>
      <c r="B117" s="4" t="n"/>
      <c r="C117" s="4" t="n"/>
      <c r="D117" s="4">
        <f>IF(C117="","",C117*0.75)</f>
        <v/>
      </c>
      <c r="E117" s="4" t="n"/>
      <c r="F117" s="4" t="n"/>
      <c r="G117" s="4" t="n"/>
      <c r="H117" s="4" t="n"/>
    </row>
    <row r="118">
      <c r="A118" s="4" t="n"/>
      <c r="B118" s="4" t="n"/>
      <c r="C118" s="4" t="n"/>
      <c r="D118" s="4">
        <f>IF(C118="","",C118*0.75)</f>
        <v/>
      </c>
      <c r="E118" s="4" t="n"/>
      <c r="F118" s="4" t="n"/>
      <c r="G118" s="4" t="n"/>
      <c r="H118" s="4" t="n"/>
    </row>
    <row r="119">
      <c r="A119" s="4" t="n"/>
      <c r="B119" s="4" t="n"/>
      <c r="C119" s="4" t="n"/>
      <c r="D119" s="4">
        <f>IF(C119="","",C119*0.75)</f>
        <v/>
      </c>
      <c r="E119" s="4" t="n"/>
      <c r="F119" s="4" t="n"/>
      <c r="G119" s="4" t="n"/>
      <c r="H119" s="4" t="n"/>
    </row>
    <row r="120">
      <c r="A120" s="4" t="n"/>
      <c r="B120" s="4" t="n"/>
      <c r="C120" s="4" t="n"/>
      <c r="D120" s="4">
        <f>IF(C120="","",C120*0.75)</f>
        <v/>
      </c>
      <c r="E120" s="4" t="n"/>
      <c r="F120" s="4" t="n"/>
      <c r="G120" s="4" t="n"/>
      <c r="H120" s="4" t="n"/>
    </row>
    <row r="121">
      <c r="A121" s="4" t="n"/>
      <c r="B121" s="4" t="n"/>
      <c r="C121" s="4" t="n"/>
      <c r="D121" s="4">
        <f>IF(C121="","",C121*0.75)</f>
        <v/>
      </c>
      <c r="E121" s="4" t="n"/>
      <c r="F121" s="4" t="n"/>
      <c r="G121" s="4" t="n"/>
      <c r="H121" s="4" t="n"/>
    </row>
    <row r="122">
      <c r="A122" s="4" t="n"/>
      <c r="B122" s="4" t="n"/>
      <c r="C122" s="4" t="n"/>
      <c r="D122" s="4">
        <f>IF(C122="","",C122*0.75)</f>
        <v/>
      </c>
      <c r="E122" s="4" t="n"/>
      <c r="F122" s="4" t="n"/>
      <c r="G122" s="4" t="n"/>
      <c r="H122" s="4" t="n"/>
    </row>
    <row r="123">
      <c r="A123" s="4" t="n"/>
      <c r="B123" s="4" t="n"/>
      <c r="C123" s="4" t="n"/>
      <c r="D123" s="4">
        <f>IF(C123="","",C123*0.75)</f>
        <v/>
      </c>
      <c r="E123" s="4" t="n"/>
      <c r="F123" s="4" t="n"/>
      <c r="G123" s="4" t="n"/>
      <c r="H123" s="4" t="n"/>
    </row>
    <row r="124">
      <c r="A124" s="4" t="n"/>
      <c r="B124" s="4" t="n"/>
      <c r="C124" s="4" t="n"/>
      <c r="D124" s="4">
        <f>IF(C124="","",C124*0.75)</f>
        <v/>
      </c>
      <c r="E124" s="4" t="n"/>
      <c r="F124" s="4" t="n"/>
      <c r="G124" s="4" t="n"/>
      <c r="H124" s="4" t="n"/>
    </row>
    <row r="125">
      <c r="A125" s="4" t="n"/>
      <c r="B125" s="4" t="n"/>
      <c r="C125" s="4" t="n"/>
      <c r="D125" s="4">
        <f>IF(C125="","",C125*0.75)</f>
        <v/>
      </c>
      <c r="E125" s="4" t="n"/>
      <c r="F125" s="4" t="n"/>
      <c r="G125" s="4" t="n"/>
      <c r="H125" s="4" t="n"/>
    </row>
    <row r="126">
      <c r="A126" s="4" t="n"/>
      <c r="B126" s="4" t="n"/>
      <c r="C126" s="4" t="n"/>
      <c r="D126" s="4">
        <f>IF(C126="","",C126*0.75)</f>
        <v/>
      </c>
      <c r="E126" s="4" t="n"/>
      <c r="F126" s="4" t="n"/>
      <c r="G126" s="4" t="n"/>
      <c r="H126" s="4" t="n"/>
    </row>
    <row r="127">
      <c r="A127" s="4" t="n"/>
      <c r="B127" s="4" t="n"/>
      <c r="C127" s="4" t="n"/>
      <c r="D127" s="4">
        <f>IF(C127="","",C127*0.75)</f>
        <v/>
      </c>
      <c r="E127" s="4" t="n"/>
      <c r="F127" s="4" t="n"/>
      <c r="G127" s="4" t="n"/>
      <c r="H127" s="4" t="n"/>
    </row>
    <row r="128">
      <c r="A128" s="4" t="n"/>
      <c r="B128" s="4" t="n"/>
      <c r="C128" s="4" t="n"/>
      <c r="D128" s="4">
        <f>IF(C128="","",C128*0.75)</f>
        <v/>
      </c>
      <c r="E128" s="4" t="n"/>
      <c r="F128" s="4" t="n"/>
      <c r="G128" s="4" t="n"/>
      <c r="H128" s="4" t="n"/>
    </row>
    <row r="129">
      <c r="A129" s="4" t="n"/>
      <c r="B129" s="4" t="n"/>
      <c r="C129" s="4" t="n"/>
      <c r="D129" s="4">
        <f>IF(C129="","",C129*0.75)</f>
        <v/>
      </c>
      <c r="E129" s="4" t="n"/>
      <c r="F129" s="4" t="n"/>
      <c r="G129" s="4" t="n"/>
      <c r="H129" s="4" t="n"/>
    </row>
    <row r="130">
      <c r="A130" s="4" t="n"/>
      <c r="B130" s="4" t="n"/>
      <c r="C130" s="4" t="n"/>
      <c r="D130" s="4">
        <f>IF(C130="","",C130*0.75)</f>
        <v/>
      </c>
      <c r="E130" s="4" t="n"/>
      <c r="F130" s="4" t="n"/>
      <c r="G130" s="4" t="n"/>
      <c r="H130" s="4" t="n"/>
    </row>
    <row r="131">
      <c r="A131" s="4" t="n"/>
      <c r="B131" s="4" t="n"/>
      <c r="C131" s="4" t="n"/>
      <c r="D131" s="4">
        <f>IF(C131="","",C131*0.75)</f>
        <v/>
      </c>
      <c r="E131" s="4" t="n"/>
      <c r="F131" s="4" t="n"/>
      <c r="G131" s="4" t="n"/>
      <c r="H131" s="4" t="n"/>
    </row>
    <row r="132">
      <c r="A132" s="4" t="n"/>
      <c r="B132" s="4" t="n"/>
      <c r="C132" s="4" t="n"/>
      <c r="D132" s="4">
        <f>IF(C132="","",C132*0.75)</f>
        <v/>
      </c>
      <c r="E132" s="4" t="n"/>
      <c r="F132" s="4" t="n"/>
      <c r="G132" s="4" t="n"/>
      <c r="H132" s="4" t="n"/>
    </row>
    <row r="133">
      <c r="A133" s="4" t="n"/>
      <c r="B133" s="4" t="n"/>
      <c r="C133" s="4" t="n"/>
      <c r="D133" s="4">
        <f>IF(C133="","",C133*0.75)</f>
        <v/>
      </c>
      <c r="E133" s="4" t="n"/>
      <c r="F133" s="4" t="n"/>
      <c r="G133" s="4" t="n"/>
      <c r="H133" s="4" t="n"/>
    </row>
    <row r="134">
      <c r="A134" s="4" t="n"/>
      <c r="B134" s="4" t="n"/>
      <c r="C134" s="4" t="n"/>
      <c r="D134" s="4">
        <f>IF(C134="","",C134*0.75)</f>
        <v/>
      </c>
      <c r="E134" s="4" t="n"/>
      <c r="F134" s="4" t="n"/>
      <c r="G134" s="4" t="n"/>
      <c r="H134" s="4" t="n"/>
    </row>
    <row r="135">
      <c r="A135" s="4" t="n"/>
      <c r="B135" s="4" t="n"/>
      <c r="C135" s="4" t="n"/>
      <c r="D135" s="4">
        <f>IF(C135="","",C135*0.75)</f>
        <v/>
      </c>
      <c r="E135" s="4" t="n"/>
      <c r="F135" s="4" t="n"/>
      <c r="G135" s="4" t="n"/>
      <c r="H135" s="4" t="n"/>
    </row>
    <row r="136">
      <c r="A136" s="4" t="n"/>
      <c r="B136" s="4" t="n"/>
      <c r="C136" s="4" t="n"/>
      <c r="D136" s="4">
        <f>IF(C136="","",C136*0.75)</f>
        <v/>
      </c>
      <c r="E136" s="4" t="n"/>
      <c r="F136" s="4" t="n"/>
      <c r="G136" s="4" t="n"/>
      <c r="H136" s="4" t="n"/>
    </row>
    <row r="137">
      <c r="A137" s="4" t="n"/>
      <c r="B137" s="4" t="n"/>
      <c r="C137" s="4" t="n"/>
      <c r="D137" s="4">
        <f>IF(C137="","",C137*0.75)</f>
        <v/>
      </c>
      <c r="E137" s="4" t="n"/>
      <c r="F137" s="4" t="n"/>
      <c r="G137" s="4" t="n"/>
      <c r="H137" s="4" t="n"/>
    </row>
    <row r="138">
      <c r="A138" s="4" t="n"/>
      <c r="B138" s="4" t="n"/>
      <c r="C138" s="4" t="n"/>
      <c r="D138" s="4">
        <f>IF(C138="","",C138*0.75)</f>
        <v/>
      </c>
      <c r="E138" s="4" t="n"/>
      <c r="F138" s="4" t="n"/>
      <c r="G138" s="4" t="n"/>
      <c r="H138" s="4" t="n"/>
    </row>
    <row r="139">
      <c r="A139" s="4" t="n"/>
      <c r="B139" s="4" t="n"/>
      <c r="C139" s="4" t="n"/>
      <c r="D139" s="4">
        <f>IF(C139="","",C139*0.75)</f>
        <v/>
      </c>
      <c r="E139" s="4" t="n"/>
      <c r="F139" s="4" t="n"/>
      <c r="G139" s="4" t="n"/>
      <c r="H139" s="4" t="n"/>
    </row>
    <row r="140">
      <c r="A140" s="4" t="n"/>
      <c r="B140" s="4" t="n"/>
      <c r="C140" s="4" t="n"/>
      <c r="D140" s="4">
        <f>IF(C140="","",C140*0.75)</f>
        <v/>
      </c>
      <c r="E140" s="4" t="n"/>
      <c r="F140" s="4" t="n"/>
      <c r="G140" s="4" t="n"/>
      <c r="H140" s="4" t="n"/>
    </row>
    <row r="141">
      <c r="A141" s="4" t="n"/>
      <c r="B141" s="4" t="n"/>
      <c r="C141" s="4" t="n"/>
      <c r="D141" s="4">
        <f>IF(C141="","",C141*0.75)</f>
        <v/>
      </c>
      <c r="E141" s="4" t="n"/>
      <c r="F141" s="4" t="n"/>
      <c r="G141" s="4" t="n"/>
      <c r="H141" s="4" t="n"/>
    </row>
    <row r="142">
      <c r="A142" s="4" t="n"/>
      <c r="B142" s="4" t="n"/>
      <c r="C142" s="4" t="n"/>
      <c r="D142" s="4">
        <f>IF(C142="","",C142*0.75)</f>
        <v/>
      </c>
      <c r="E142" s="4" t="n"/>
      <c r="F142" s="4" t="n"/>
      <c r="G142" s="4" t="n"/>
      <c r="H142" s="4" t="n"/>
    </row>
    <row r="143">
      <c r="A143" s="4" t="n"/>
      <c r="B143" s="4" t="n"/>
      <c r="C143" s="4" t="n"/>
      <c r="D143" s="4">
        <f>IF(C143="","",C143*0.75)</f>
        <v/>
      </c>
      <c r="E143" s="4" t="n"/>
      <c r="F143" s="4" t="n"/>
      <c r="G143" s="4" t="n"/>
      <c r="H143" s="4" t="n"/>
    </row>
    <row r="144">
      <c r="A144" s="4" t="n"/>
      <c r="B144" s="4" t="n"/>
      <c r="C144" s="4" t="n"/>
      <c r="D144" s="4">
        <f>IF(C144="","",C144*0.75)</f>
        <v/>
      </c>
      <c r="E144" s="4" t="n"/>
      <c r="F144" s="4" t="n"/>
      <c r="G144" s="4" t="n"/>
      <c r="H144" s="4" t="n"/>
    </row>
    <row r="145">
      <c r="A145" s="4" t="n"/>
      <c r="B145" s="4" t="n"/>
      <c r="C145" s="4" t="n"/>
      <c r="D145" s="4">
        <f>IF(C145="","",C145*0.75)</f>
        <v/>
      </c>
      <c r="E145" s="4" t="n"/>
      <c r="F145" s="4" t="n"/>
      <c r="G145" s="4" t="n"/>
      <c r="H145" s="4" t="n"/>
    </row>
    <row r="146">
      <c r="A146" s="4" t="n"/>
      <c r="B146" s="4" t="n"/>
      <c r="C146" s="4" t="n"/>
      <c r="D146" s="4">
        <f>IF(C146="","",C146*0.75)</f>
        <v/>
      </c>
      <c r="E146" s="4" t="n"/>
      <c r="F146" s="4" t="n"/>
      <c r="G146" s="4" t="n"/>
      <c r="H146" s="4" t="n"/>
    </row>
    <row r="147">
      <c r="A147" s="4" t="n"/>
      <c r="B147" s="4" t="n"/>
      <c r="C147" s="4" t="n"/>
      <c r="D147" s="4">
        <f>IF(C147="","",C147*0.75)</f>
        <v/>
      </c>
      <c r="E147" s="4" t="n"/>
      <c r="F147" s="4" t="n"/>
      <c r="G147" s="4" t="n"/>
      <c r="H147" s="4" t="n"/>
    </row>
    <row r="148">
      <c r="A148" s="4" t="n"/>
      <c r="B148" s="4" t="n"/>
      <c r="C148" s="4" t="n"/>
      <c r="D148" s="4">
        <f>IF(C148="","",C148*0.75)</f>
        <v/>
      </c>
      <c r="E148" s="4" t="n"/>
      <c r="F148" s="4" t="n"/>
      <c r="G148" s="4" t="n"/>
      <c r="H148" s="4" t="n"/>
    </row>
    <row r="149">
      <c r="A149" s="4" t="n"/>
      <c r="B149" s="4" t="n"/>
      <c r="C149" s="4" t="n"/>
      <c r="D149" s="4">
        <f>IF(C149="","",C149*0.75)</f>
        <v/>
      </c>
      <c r="E149" s="4" t="n"/>
      <c r="F149" s="4" t="n"/>
      <c r="G149" s="4" t="n"/>
      <c r="H149" s="4" t="n"/>
    </row>
    <row r="150">
      <c r="A150" s="4" t="n"/>
      <c r="B150" s="4" t="n"/>
      <c r="C150" s="4" t="n"/>
      <c r="D150" s="4">
        <f>IF(C150="","",C150*0.75)</f>
        <v/>
      </c>
      <c r="E150" s="4" t="n"/>
      <c r="F150" s="4" t="n"/>
      <c r="G150" s="4" t="n"/>
      <c r="H150" s="4" t="n"/>
    </row>
    <row r="151">
      <c r="A151" s="4" t="n"/>
      <c r="B151" s="4" t="n"/>
      <c r="C151" s="4" t="n"/>
      <c r="D151" s="4">
        <f>IF(C151="","",C151*0.75)</f>
        <v/>
      </c>
      <c r="E151" s="4" t="n"/>
      <c r="F151" s="4" t="n"/>
      <c r="G151" s="4" t="n"/>
      <c r="H151" s="4" t="n"/>
    </row>
    <row r="152">
      <c r="A152" s="4" t="n"/>
      <c r="B152" s="4" t="n"/>
      <c r="C152" s="4" t="n"/>
      <c r="D152" s="4">
        <f>IF(C152="","",C152*0.75)</f>
        <v/>
      </c>
      <c r="E152" s="4" t="n"/>
      <c r="F152" s="4" t="n"/>
      <c r="G152" s="4" t="n"/>
      <c r="H152" s="4" t="n"/>
    </row>
    <row r="153">
      <c r="A153" s="4" t="n"/>
      <c r="B153" s="4" t="n"/>
      <c r="C153" s="4" t="n"/>
      <c r="D153" s="4">
        <f>IF(C153="","",C153*0.75)</f>
        <v/>
      </c>
      <c r="E153" s="4" t="n"/>
      <c r="F153" s="4" t="n"/>
      <c r="G153" s="4" t="n"/>
      <c r="H153" s="4" t="n"/>
    </row>
    <row r="154">
      <c r="A154" s="4" t="n"/>
      <c r="B154" s="4" t="n"/>
      <c r="C154" s="4" t="n"/>
      <c r="D154" s="4">
        <f>IF(C154="","",C154*0.75)</f>
        <v/>
      </c>
      <c r="E154" s="4" t="n"/>
      <c r="F154" s="4" t="n"/>
      <c r="G154" s="4" t="n"/>
      <c r="H154" s="4" t="n"/>
    </row>
    <row r="155">
      <c r="A155" s="4" t="n"/>
      <c r="B155" s="4" t="n"/>
      <c r="C155" s="4" t="n"/>
      <c r="D155" s="4">
        <f>IF(C155="","",C155*0.75)</f>
        <v/>
      </c>
      <c r="E155" s="4" t="n"/>
      <c r="F155" s="4" t="n"/>
      <c r="G155" s="4" t="n"/>
      <c r="H155" s="4" t="n"/>
    </row>
    <row r="156">
      <c r="A156" s="4" t="n"/>
      <c r="B156" s="4" t="n"/>
      <c r="C156" s="4" t="n"/>
      <c r="D156" s="4">
        <f>IF(C156="","",C156*0.75)</f>
        <v/>
      </c>
      <c r="E156" s="4" t="n"/>
      <c r="F156" s="4" t="n"/>
      <c r="G156" s="4" t="n"/>
      <c r="H156" s="4" t="n"/>
    </row>
    <row r="157">
      <c r="A157" s="4" t="n"/>
      <c r="B157" s="4" t="n"/>
      <c r="C157" s="4" t="n"/>
      <c r="D157" s="4">
        <f>IF(C157="","",C157*0.75)</f>
        <v/>
      </c>
      <c r="E157" s="4" t="n"/>
      <c r="F157" s="4" t="n"/>
      <c r="G157" s="4" t="n"/>
      <c r="H157" s="4" t="n"/>
    </row>
    <row r="158">
      <c r="A158" s="4" t="n"/>
      <c r="B158" s="4" t="n"/>
      <c r="C158" s="4" t="n"/>
      <c r="D158" s="4">
        <f>IF(C158="","",C158*0.75)</f>
        <v/>
      </c>
      <c r="E158" s="4" t="n"/>
      <c r="F158" s="4" t="n"/>
      <c r="G158" s="4" t="n"/>
      <c r="H158" s="4" t="n"/>
    </row>
    <row r="159">
      <c r="A159" s="4" t="n"/>
      <c r="B159" s="4" t="n"/>
      <c r="C159" s="4" t="n"/>
      <c r="D159" s="4">
        <f>IF(C159="","",C159*0.75)</f>
        <v/>
      </c>
      <c r="E159" s="4" t="n"/>
      <c r="F159" s="4" t="n"/>
      <c r="G159" s="4" t="n"/>
      <c r="H159" s="4" t="n"/>
    </row>
    <row r="160">
      <c r="A160" s="4" t="n"/>
      <c r="B160" s="4" t="n"/>
      <c r="C160" s="4" t="n"/>
      <c r="D160" s="4">
        <f>IF(C160="","",C160*0.75)</f>
        <v/>
      </c>
      <c r="E160" s="4" t="n"/>
      <c r="F160" s="4" t="n"/>
      <c r="G160" s="4" t="n"/>
      <c r="H160" s="4" t="n"/>
    </row>
    <row r="161">
      <c r="A161" s="4" t="n"/>
      <c r="B161" s="4" t="n"/>
      <c r="C161" s="4" t="n"/>
      <c r="D161" s="4">
        <f>IF(C161="","",C161*0.75)</f>
        <v/>
      </c>
      <c r="E161" s="4" t="n"/>
      <c r="F161" s="4" t="n"/>
      <c r="G161" s="4" t="n"/>
      <c r="H161" s="4" t="n"/>
    </row>
    <row r="162">
      <c r="A162" s="4" t="n"/>
      <c r="B162" s="4" t="n"/>
      <c r="C162" s="4" t="n"/>
      <c r="D162" s="4">
        <f>IF(C162="","",C162*0.75)</f>
        <v/>
      </c>
      <c r="E162" s="4" t="n"/>
      <c r="F162" s="4" t="n"/>
      <c r="G162" s="4" t="n"/>
      <c r="H162" s="4" t="n"/>
    </row>
    <row r="163">
      <c r="A163" s="4" t="n"/>
      <c r="B163" s="4" t="n"/>
      <c r="C163" s="4" t="n"/>
      <c r="D163" s="4">
        <f>IF(C163="","",C163*0.75)</f>
        <v/>
      </c>
      <c r="E163" s="4" t="n"/>
      <c r="F163" s="4" t="n"/>
      <c r="G163" s="4" t="n"/>
      <c r="H163" s="4" t="n"/>
    </row>
    <row r="164">
      <c r="A164" s="4" t="n"/>
      <c r="B164" s="4" t="n"/>
      <c r="C164" s="4" t="n"/>
      <c r="D164" s="4">
        <f>IF(C164="","",C164*0.75)</f>
        <v/>
      </c>
      <c r="E164" s="4" t="n"/>
      <c r="F164" s="4" t="n"/>
      <c r="G164" s="4" t="n"/>
      <c r="H164" s="4" t="n"/>
    </row>
    <row r="165">
      <c r="A165" s="4" t="n"/>
      <c r="B165" s="4" t="n"/>
      <c r="C165" s="4" t="n"/>
      <c r="D165" s="4">
        <f>IF(C165="","",C165*0.75)</f>
        <v/>
      </c>
      <c r="E165" s="4" t="n"/>
      <c r="F165" s="4" t="n"/>
      <c r="G165" s="4" t="n"/>
      <c r="H165" s="4" t="n"/>
    </row>
    <row r="166">
      <c r="A166" s="4" t="n"/>
      <c r="B166" s="4" t="n"/>
      <c r="C166" s="4" t="n"/>
      <c r="D166" s="4">
        <f>IF(C166="","",C166*0.75)</f>
        <v/>
      </c>
      <c r="E166" s="4" t="n"/>
      <c r="F166" s="4" t="n"/>
      <c r="G166" s="4" t="n"/>
      <c r="H166" s="4" t="n"/>
    </row>
    <row r="167">
      <c r="A167" s="4" t="n"/>
      <c r="B167" s="4" t="n"/>
      <c r="C167" s="4" t="n"/>
      <c r="D167" s="4">
        <f>IF(C167="","",C167*0.75)</f>
        <v/>
      </c>
      <c r="E167" s="4" t="n"/>
      <c r="F167" s="4" t="n"/>
      <c r="G167" s="4" t="n"/>
      <c r="H167" s="4" t="n"/>
    </row>
    <row r="168">
      <c r="A168" s="4" t="n"/>
      <c r="B168" s="4" t="n"/>
      <c r="C168" s="4" t="n"/>
      <c r="D168" s="4">
        <f>IF(C168="","",C168*0.75)</f>
        <v/>
      </c>
      <c r="E168" s="4" t="n"/>
      <c r="F168" s="4" t="n"/>
      <c r="G168" s="4" t="n"/>
      <c r="H168" s="4" t="n"/>
    </row>
    <row r="169">
      <c r="A169" s="4" t="n"/>
      <c r="B169" s="4" t="n"/>
      <c r="C169" s="4" t="n"/>
      <c r="D169" s="4">
        <f>IF(C169="","",C169*0.75)</f>
        <v/>
      </c>
      <c r="E169" s="4" t="n"/>
      <c r="F169" s="4" t="n"/>
      <c r="G169" s="4" t="n"/>
      <c r="H169" s="4" t="n"/>
    </row>
    <row r="170">
      <c r="A170" s="4" t="n"/>
      <c r="B170" s="4" t="n"/>
      <c r="C170" s="4" t="n"/>
      <c r="D170" s="4">
        <f>IF(C170="","",C170*0.75)</f>
        <v/>
      </c>
      <c r="E170" s="4" t="n"/>
      <c r="F170" s="4" t="n"/>
      <c r="G170" s="4" t="n"/>
      <c r="H170" s="4" t="n"/>
    </row>
    <row r="171">
      <c r="A171" s="4" t="n"/>
      <c r="B171" s="4" t="n"/>
      <c r="C171" s="4" t="n"/>
      <c r="D171" s="4">
        <f>IF(C171="","",C171*0.75)</f>
        <v/>
      </c>
      <c r="E171" s="4" t="n"/>
      <c r="F171" s="4" t="n"/>
      <c r="G171" s="4" t="n"/>
      <c r="H171" s="4" t="n"/>
    </row>
    <row r="172">
      <c r="A172" s="4" t="n"/>
      <c r="B172" s="4" t="n"/>
      <c r="C172" s="4" t="n"/>
      <c r="D172" s="4">
        <f>IF(C172="","",C172*0.75)</f>
        <v/>
      </c>
      <c r="E172" s="4" t="n"/>
      <c r="F172" s="4" t="n"/>
      <c r="G172" s="4" t="n"/>
      <c r="H172" s="4" t="n"/>
    </row>
    <row r="173">
      <c r="A173" s="4" t="n"/>
      <c r="B173" s="4" t="n"/>
      <c r="C173" s="4" t="n"/>
      <c r="D173" s="4">
        <f>IF(C173="","",C173*0.75)</f>
        <v/>
      </c>
      <c r="E173" s="4" t="n"/>
      <c r="F173" s="4" t="n"/>
      <c r="G173" s="4" t="n"/>
      <c r="H173" s="4" t="n"/>
    </row>
    <row r="174">
      <c r="A174" s="4" t="n"/>
      <c r="B174" s="4" t="n"/>
      <c r="C174" s="4" t="n"/>
      <c r="D174" s="4">
        <f>IF(C174="","",C174*0.75)</f>
        <v/>
      </c>
      <c r="E174" s="4" t="n"/>
      <c r="F174" s="4" t="n"/>
      <c r="G174" s="4" t="n"/>
      <c r="H174" s="4" t="n"/>
    </row>
    <row r="175">
      <c r="A175" s="4" t="n"/>
      <c r="B175" s="4" t="n"/>
      <c r="C175" s="4" t="n"/>
      <c r="D175" s="4">
        <f>IF(C175="","",C175*0.75)</f>
        <v/>
      </c>
      <c r="E175" s="4" t="n"/>
      <c r="F175" s="4" t="n"/>
      <c r="G175" s="4" t="n"/>
      <c r="H175" s="4" t="n"/>
    </row>
    <row r="176">
      <c r="A176" s="4" t="n"/>
      <c r="B176" s="4" t="n"/>
      <c r="C176" s="4" t="n"/>
      <c r="D176" s="4">
        <f>IF(C176="","",C176*0.75)</f>
        <v/>
      </c>
      <c r="E176" s="4" t="n"/>
      <c r="F176" s="4" t="n"/>
      <c r="G176" s="4" t="n"/>
      <c r="H176" s="4" t="n"/>
    </row>
    <row r="177">
      <c r="A177" s="4" t="n"/>
      <c r="B177" s="4" t="n"/>
      <c r="C177" s="4" t="n"/>
      <c r="D177" s="4">
        <f>IF(C177="","",C177*0.75)</f>
        <v/>
      </c>
      <c r="E177" s="4" t="n"/>
      <c r="F177" s="4" t="n"/>
      <c r="G177" s="4" t="n"/>
      <c r="H177" s="4" t="n"/>
    </row>
    <row r="178">
      <c r="A178" s="4" t="n"/>
      <c r="B178" s="4" t="n"/>
      <c r="C178" s="4" t="n"/>
      <c r="D178" s="4">
        <f>IF(C178="","",C178*0.75)</f>
        <v/>
      </c>
      <c r="E178" s="4" t="n"/>
      <c r="F178" s="4" t="n"/>
      <c r="G178" s="4" t="n"/>
      <c r="H178" s="4" t="n"/>
    </row>
    <row r="179">
      <c r="A179" s="4" t="n"/>
      <c r="B179" s="4" t="n"/>
      <c r="C179" s="4" t="n"/>
      <c r="D179" s="4">
        <f>IF(C179="","",C179*0.75)</f>
        <v/>
      </c>
      <c r="E179" s="4" t="n"/>
      <c r="F179" s="4" t="n"/>
      <c r="G179" s="4" t="n"/>
      <c r="H179" s="4" t="n"/>
    </row>
    <row r="180">
      <c r="A180" s="4" t="n"/>
      <c r="B180" s="4" t="n"/>
      <c r="C180" s="4" t="n"/>
      <c r="D180" s="4">
        <f>IF(C180="","",C180*0.75)</f>
        <v/>
      </c>
      <c r="E180" s="4" t="n"/>
      <c r="F180" s="4" t="n"/>
      <c r="G180" s="4" t="n"/>
      <c r="H180" s="4" t="n"/>
    </row>
    <row r="181">
      <c r="A181" s="4" t="n"/>
      <c r="B181" s="4" t="n"/>
      <c r="C181" s="4" t="n"/>
      <c r="D181" s="4">
        <f>IF(C181="","",C181*0.75)</f>
        <v/>
      </c>
      <c r="E181" s="4" t="n"/>
      <c r="F181" s="4" t="n"/>
      <c r="G181" s="4" t="n"/>
      <c r="H181" s="4" t="n"/>
    </row>
    <row r="182">
      <c r="A182" s="4" t="n"/>
      <c r="B182" s="4" t="n"/>
      <c r="C182" s="4" t="n"/>
      <c r="D182" s="4">
        <f>IF(C182="","",C182*0.75)</f>
        <v/>
      </c>
      <c r="E182" s="4" t="n"/>
      <c r="F182" s="4" t="n"/>
      <c r="G182" s="4" t="n"/>
      <c r="H182" s="4" t="n"/>
    </row>
    <row r="183">
      <c r="A183" s="4" t="n"/>
      <c r="B183" s="4" t="n"/>
      <c r="C183" s="4" t="n"/>
      <c r="D183" s="4">
        <f>IF(C183="","",C183*0.75)</f>
        <v/>
      </c>
      <c r="E183" s="4" t="n"/>
      <c r="F183" s="4" t="n"/>
      <c r="G183" s="4" t="n"/>
      <c r="H183" s="4" t="n"/>
    </row>
    <row r="184">
      <c r="A184" s="4" t="n"/>
      <c r="B184" s="4" t="n"/>
      <c r="C184" s="4" t="n"/>
      <c r="D184" s="4">
        <f>IF(C184="","",C184*0.75)</f>
        <v/>
      </c>
      <c r="E184" s="4" t="n"/>
      <c r="F184" s="4" t="n"/>
      <c r="G184" s="4" t="n"/>
      <c r="H184" s="4" t="n"/>
    </row>
    <row r="185">
      <c r="A185" s="4" t="n"/>
      <c r="B185" s="4" t="n"/>
      <c r="C185" s="4" t="n"/>
      <c r="D185" s="4">
        <f>IF(C185="","",C185*0.75)</f>
        <v/>
      </c>
      <c r="E185" s="4" t="n"/>
      <c r="F185" s="4" t="n"/>
      <c r="G185" s="4" t="n"/>
      <c r="H185" s="4" t="n"/>
    </row>
    <row r="186">
      <c r="A186" s="4" t="n"/>
      <c r="B186" s="4" t="n"/>
      <c r="C186" s="4" t="n"/>
      <c r="D186" s="4">
        <f>IF(C186="","",C186*0.75)</f>
        <v/>
      </c>
      <c r="E186" s="4" t="n"/>
      <c r="F186" s="4" t="n"/>
      <c r="G186" s="4" t="n"/>
      <c r="H186" s="4" t="n"/>
    </row>
    <row r="187">
      <c r="A187" s="4" t="n"/>
      <c r="B187" s="4" t="n"/>
      <c r="C187" s="4" t="n"/>
      <c r="D187" s="4">
        <f>IF(C187="","",C187*0.75)</f>
        <v/>
      </c>
      <c r="E187" s="4" t="n"/>
      <c r="F187" s="4" t="n"/>
      <c r="G187" s="4" t="n"/>
      <c r="H187" s="4" t="n"/>
    </row>
    <row r="188">
      <c r="A188" s="4" t="n"/>
      <c r="B188" s="4" t="n"/>
      <c r="C188" s="4" t="n"/>
      <c r="D188" s="4">
        <f>IF(C188="","",C188*0.75)</f>
        <v/>
      </c>
      <c r="E188" s="4" t="n"/>
      <c r="F188" s="4" t="n"/>
      <c r="G188" s="4" t="n"/>
      <c r="H188" s="4" t="n"/>
    </row>
    <row r="189">
      <c r="A189" s="4" t="n"/>
      <c r="B189" s="4" t="n"/>
      <c r="C189" s="4" t="n"/>
      <c r="D189" s="4">
        <f>IF(C189="","",C189*0.75)</f>
        <v/>
      </c>
      <c r="E189" s="4" t="n"/>
      <c r="F189" s="4" t="n"/>
      <c r="G189" s="4" t="n"/>
      <c r="H189" s="4" t="n"/>
    </row>
    <row r="190">
      <c r="A190" s="4" t="n"/>
      <c r="B190" s="4" t="n"/>
      <c r="C190" s="4" t="n"/>
      <c r="D190" s="4">
        <f>IF(C190="","",C190*0.75)</f>
        <v/>
      </c>
      <c r="E190" s="4" t="n"/>
      <c r="F190" s="4" t="n"/>
      <c r="G190" s="4" t="n"/>
      <c r="H190" s="4" t="n"/>
    </row>
    <row r="191">
      <c r="A191" s="4" t="n"/>
      <c r="B191" s="4" t="n"/>
      <c r="C191" s="4" t="n"/>
      <c r="D191" s="4">
        <f>IF(C191="","",C191*0.75)</f>
        <v/>
      </c>
      <c r="E191" s="4" t="n"/>
      <c r="F191" s="4" t="n"/>
      <c r="G191" s="4" t="n"/>
      <c r="H191" s="4" t="n"/>
    </row>
    <row r="192">
      <c r="A192" s="4" t="n"/>
      <c r="B192" s="4" t="n"/>
      <c r="C192" s="4" t="n"/>
      <c r="D192" s="4">
        <f>IF(C192="","",C192*0.75)</f>
        <v/>
      </c>
      <c r="E192" s="4" t="n"/>
      <c r="F192" s="4" t="n"/>
      <c r="G192" s="4" t="n"/>
      <c r="H192" s="4" t="n"/>
    </row>
    <row r="193">
      <c r="A193" s="4" t="n"/>
      <c r="B193" s="4" t="n"/>
      <c r="C193" s="4" t="n"/>
      <c r="D193" s="4">
        <f>IF(C193="","",C193*0.75)</f>
        <v/>
      </c>
      <c r="E193" s="4" t="n"/>
      <c r="F193" s="4" t="n"/>
      <c r="G193" s="4" t="n"/>
      <c r="H193" s="4" t="n"/>
    </row>
    <row r="194">
      <c r="A194" s="4" t="n"/>
      <c r="B194" s="4" t="n"/>
      <c r="C194" s="4" t="n"/>
      <c r="D194" s="4">
        <f>IF(C194="","",C194*0.75)</f>
        <v/>
      </c>
      <c r="E194" s="4" t="n"/>
      <c r="F194" s="4" t="n"/>
      <c r="G194" s="4" t="n"/>
      <c r="H194" s="4" t="n"/>
    </row>
    <row r="195">
      <c r="A195" s="4" t="n"/>
      <c r="B195" s="4" t="n"/>
      <c r="C195" s="4" t="n"/>
      <c r="D195" s="4">
        <f>IF(C195="","",C195*0.75)</f>
        <v/>
      </c>
      <c r="E195" s="4" t="n"/>
      <c r="F195" s="4" t="n"/>
      <c r="G195" s="4" t="n"/>
      <c r="H195" s="4" t="n"/>
    </row>
    <row r="196">
      <c r="A196" s="4" t="n"/>
      <c r="B196" s="4" t="n"/>
      <c r="C196" s="4" t="n"/>
      <c r="D196" s="4">
        <f>IF(C196="","",C196*0.75)</f>
        <v/>
      </c>
      <c r="E196" s="4" t="n"/>
      <c r="F196" s="4" t="n"/>
      <c r="G196" s="4" t="n"/>
      <c r="H196" s="4" t="n"/>
    </row>
    <row r="197">
      <c r="A197" s="4" t="n"/>
      <c r="B197" s="4" t="n"/>
      <c r="C197" s="4" t="n"/>
      <c r="D197" s="4">
        <f>IF(C197="","",C197*0.75)</f>
        <v/>
      </c>
      <c r="E197" s="4" t="n"/>
      <c r="F197" s="4" t="n"/>
      <c r="G197" s="4" t="n"/>
      <c r="H197" s="4" t="n"/>
    </row>
    <row r="198">
      <c r="A198" s="4" t="n"/>
      <c r="B198" s="4" t="n"/>
      <c r="C198" s="4" t="n"/>
      <c r="D198" s="4">
        <f>IF(C198="","",C198*0.75)</f>
        <v/>
      </c>
      <c r="E198" s="4" t="n"/>
      <c r="F198" s="4" t="n"/>
      <c r="G198" s="4" t="n"/>
      <c r="H198" s="4" t="n"/>
    </row>
    <row r="199">
      <c r="A199" s="4" t="n"/>
      <c r="B199" s="4" t="n"/>
      <c r="C199" s="4" t="n"/>
      <c r="D199" s="4">
        <f>IF(C199="","",C199*0.75)</f>
        <v/>
      </c>
      <c r="E199" s="4" t="n"/>
      <c r="F199" s="4" t="n"/>
      <c r="G199" s="4" t="n"/>
      <c r="H199" s="4" t="n"/>
    </row>
    <row r="200">
      <c r="A200" s="4" t="n"/>
      <c r="B200" s="4" t="n"/>
      <c r="C200" s="4" t="n"/>
      <c r="D200" s="4">
        <f>IF(C200="","",C200*0.75)</f>
        <v/>
      </c>
      <c r="E200" s="4" t="n"/>
      <c r="F200" s="4" t="n"/>
      <c r="G200" s="4" t="n"/>
      <c r="H200" s="4" t="n"/>
    </row>
    <row r="201">
      <c r="A201" s="4" t="n"/>
      <c r="B201" s="4" t="n"/>
      <c r="C201" s="4" t="n"/>
      <c r="D201" s="4">
        <f>IF(C201="","",C201*0.75)</f>
        <v/>
      </c>
      <c r="E201" s="4" t="n"/>
      <c r="F201" s="4" t="n"/>
      <c r="G201" s="4" t="n"/>
      <c r="H201" s="4" t="n"/>
    </row>
    <row r="202">
      <c r="A202" s="4" t="n"/>
      <c r="B202" s="4" t="n"/>
      <c r="C202" s="4" t="n"/>
      <c r="D202" s="4">
        <f>IF(C202="","",C202*0.75)</f>
        <v/>
      </c>
      <c r="E202" s="4" t="n"/>
      <c r="F202" s="4" t="n"/>
      <c r="G202" s="4" t="n"/>
      <c r="H202" s="4" t="n"/>
    </row>
    <row r="203">
      <c r="A203" s="4" t="n"/>
      <c r="B203" s="4" t="n"/>
      <c r="C203" s="4" t="n"/>
      <c r="D203" s="4">
        <f>IF(C203="","",C203*0.75)</f>
        <v/>
      </c>
      <c r="E203" s="4" t="n"/>
      <c r="F203" s="4" t="n"/>
      <c r="G203" s="4" t="n"/>
      <c r="H203" s="4" t="n"/>
    </row>
    <row r="204">
      <c r="A204" s="4" t="n"/>
      <c r="B204" s="4" t="n"/>
      <c r="C204" s="4" t="n"/>
      <c r="D204" s="4">
        <f>IF(C204="","",C204*0.75)</f>
        <v/>
      </c>
      <c r="E204" s="4" t="n"/>
      <c r="F204" s="4" t="n"/>
      <c r="G204" s="4" t="n"/>
      <c r="H20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26" customWidth="1" min="5" max="5"/>
    <col width="22" customWidth="1" min="6" max="6"/>
    <col width="26" customWidth="1" min="7" max="7"/>
    <col width="36" customWidth="1" min="8" max="8"/>
  </cols>
  <sheetData>
    <row r="1" ht="22" customHeight="1">
      <c r="A1" s="1" t="inlineStr">
        <is>
          <t>Tastings &amp; Promotional Use — Auto-Condensed from Usage Detail</t>
        </is>
      </c>
    </row>
    <row r="2">
      <c r="A2" s="5" t="inlineStr">
        <is>
          <t>Auto-pulls every Tasting and Promotional row. Rows condense automatically.</t>
        </is>
      </c>
    </row>
    <row r="4">
      <c r="A4" s="6" t="inlineStr">
        <is>
          <t>Total Bottles Used (Tastings + Promotions):</t>
        </is>
      </c>
      <c r="E4" s="7">
        <f>SUMIFS('Usage Detail'!C:C,'Usage Detail'!B:B,"Tasting")+SUMIFS('Usage Detail'!C:C,'Usage Detail'!B:B,"Promotional")</f>
        <v/>
      </c>
      <c r="F4" s="7">
        <f>E4*0.75</f>
        <v/>
      </c>
      <c r="G4" t="inlineStr">
        <is>
          <t>Litres</t>
        </is>
      </c>
    </row>
    <row r="5">
      <c r="A5" s="6" t="inlineStr">
        <is>
          <t>Tastings Only:</t>
        </is>
      </c>
      <c r="E5">
        <f>SUMIFS('Usage Detail'!C:C,'Usage Detail'!B:B,"Tasting")</f>
        <v/>
      </c>
      <c r="F5">
        <f>E5*0.75</f>
        <v/>
      </c>
      <c r="G5" t="inlineStr">
        <is>
          <t>Litres</t>
        </is>
      </c>
    </row>
    <row r="6">
      <c r="A6" s="6" t="inlineStr">
        <is>
          <t>Promotional Only:</t>
        </is>
      </c>
      <c r="E6">
        <f>SUMIFS('Usage Detail'!C:C,'Usage Detail'!B:B,"Promotional")</f>
        <v/>
      </c>
      <c r="F6">
        <f>E6*0.75</f>
        <v/>
      </c>
      <c r="G6" t="inlineStr">
        <is>
          <t>Litres</t>
        </is>
      </c>
    </row>
    <row r="8" ht="28" customHeight="1">
      <c r="A8" s="2" t="inlineStr">
        <is>
          <t>Date</t>
        </is>
      </c>
      <c r="B8" s="2" t="inlineStr">
        <is>
          <t>Category</t>
        </is>
      </c>
      <c r="C8" s="2" t="inlineStr">
        <is>
          <t>Bottles Used</t>
        </is>
      </c>
      <c r="D8" s="2" t="inlineStr">
        <is>
          <t>Litres</t>
        </is>
      </c>
      <c r="E8" s="2" t="inlineStr">
        <is>
          <t>Recipient / Restaurant</t>
        </is>
      </c>
      <c r="F8" s="2" t="inlineStr">
        <is>
          <t>Location / City</t>
        </is>
      </c>
      <c r="G8" s="2" t="inlineStr">
        <is>
          <t>Purpose</t>
        </is>
      </c>
      <c r="H8" s="2" t="inlineStr">
        <is>
          <t>Notes</t>
        </is>
      </c>
    </row>
    <row r="9">
      <c r="A9" s="3">
        <f>IFERROR(INDEX('Usage Detail'!$A:$A,AGGREGATE(15,6,ROW('Usage Detail'!$A$5:$A$204)/(('Usage Detail'!$B$5:$B$204="Tasting")+('Usage Detail'!$B$5:$B$204="Promotional")),ROW(A1))),"")</f>
        <v/>
      </c>
      <c r="B9" s="3">
        <f>IFERROR(INDEX('Usage Detail'!$B:$B,AGGREGATE(15,6,ROW('Usage Detail'!$A$5:$A$204)/(('Usage Detail'!$B$5:$B$204="Tasting")+('Usage Detail'!$B$5:$B$204="Promotional")),ROW(A1))),"")</f>
        <v/>
      </c>
      <c r="C9" s="3">
        <f>IFERROR(INDEX('Usage Detail'!$C:$C,AGGREGATE(15,6,ROW('Usage Detail'!$A$5:$A$204)/(('Usage Detail'!$B$5:$B$204="Tasting")+('Usage Detail'!$B$5:$B$204="Promotional")),ROW(A1))),"")</f>
        <v/>
      </c>
      <c r="D9" s="3">
        <f>IFERROR(INDEX('Usage Detail'!$D:$D,AGGREGATE(15,6,ROW('Usage Detail'!$A$5:$A$204)/(('Usage Detail'!$B$5:$B$204="Tasting")+('Usage Detail'!$B$5:$B$204="Promotional")),ROW(A1))),"")</f>
        <v/>
      </c>
      <c r="E9" s="4">
        <f>IFERROR(INDEX('Usage Detail'!$E:$E,AGGREGATE(15,6,ROW('Usage Detail'!$A$5:$A$204)/(('Usage Detail'!$B$5:$B$204="Tasting")+('Usage Detail'!$B$5:$B$204="Promotional")),ROW(A1))),"")</f>
        <v/>
      </c>
      <c r="F9" s="4">
        <f>IFERROR(INDEX('Usage Detail'!$F:$F,AGGREGATE(15,6,ROW('Usage Detail'!$A$5:$A$204)/(('Usage Detail'!$B$5:$B$204="Tasting")+('Usage Detail'!$B$5:$B$204="Promotional")),ROW(A1))),"")</f>
        <v/>
      </c>
      <c r="G9" s="4">
        <f>IFERROR(INDEX('Usage Detail'!$G:$G,AGGREGATE(15,6,ROW('Usage Detail'!$A$5:$A$204)/(('Usage Detail'!$B$5:$B$204="Tasting")+('Usage Detail'!$B$5:$B$204="Promotional")),ROW(A1))),"")</f>
        <v/>
      </c>
      <c r="H9" s="4">
        <f>IFERROR(INDEX('Usage Detail'!$H:$H,AGGREGATE(15,6,ROW('Usage Detail'!$A$5:$A$204)/(('Usage Detail'!$B$5:$B$204="Tasting")+('Usage Detail'!$B$5:$B$204="Promotional")),ROW(A1))),"")</f>
        <v/>
      </c>
    </row>
    <row r="10">
      <c r="A10" s="3">
        <f>IFERROR(INDEX('Usage Detail'!$A:$A,AGGREGATE(15,6,ROW('Usage Detail'!$A$5:$A$204)/(('Usage Detail'!$B$5:$B$204="Tasting")+('Usage Detail'!$B$5:$B$204="Promotional")),ROW(A2))),"")</f>
        <v/>
      </c>
      <c r="B10" s="3">
        <f>IFERROR(INDEX('Usage Detail'!$B:$B,AGGREGATE(15,6,ROW('Usage Detail'!$A$5:$A$204)/(('Usage Detail'!$B$5:$B$204="Tasting")+('Usage Detail'!$B$5:$B$204="Promotional")),ROW(A2))),"")</f>
        <v/>
      </c>
      <c r="C10" s="3">
        <f>IFERROR(INDEX('Usage Detail'!$C:$C,AGGREGATE(15,6,ROW('Usage Detail'!$A$5:$A$204)/(('Usage Detail'!$B$5:$B$204="Tasting")+('Usage Detail'!$B$5:$B$204="Promotional")),ROW(A2))),"")</f>
        <v/>
      </c>
      <c r="D10" s="3">
        <f>IFERROR(INDEX('Usage Detail'!$D:$D,AGGREGATE(15,6,ROW('Usage Detail'!$A$5:$A$204)/(('Usage Detail'!$B$5:$B$204="Tasting")+('Usage Detail'!$B$5:$B$204="Promotional")),ROW(A2))),"")</f>
        <v/>
      </c>
      <c r="E10" s="4">
        <f>IFERROR(INDEX('Usage Detail'!$E:$E,AGGREGATE(15,6,ROW('Usage Detail'!$A$5:$A$204)/(('Usage Detail'!$B$5:$B$204="Tasting")+('Usage Detail'!$B$5:$B$204="Promotional")),ROW(A2))),"")</f>
        <v/>
      </c>
      <c r="F10" s="4">
        <f>IFERROR(INDEX('Usage Detail'!$F:$F,AGGREGATE(15,6,ROW('Usage Detail'!$A$5:$A$204)/(('Usage Detail'!$B$5:$B$204="Tasting")+('Usage Detail'!$B$5:$B$204="Promotional")),ROW(A2))),"")</f>
        <v/>
      </c>
      <c r="G10" s="4">
        <f>IFERROR(INDEX('Usage Detail'!$G:$G,AGGREGATE(15,6,ROW('Usage Detail'!$A$5:$A$204)/(('Usage Detail'!$B$5:$B$204="Tasting")+('Usage Detail'!$B$5:$B$204="Promotional")),ROW(A2))),"")</f>
        <v/>
      </c>
      <c r="H10" s="4">
        <f>IFERROR(INDEX('Usage Detail'!$H:$H,AGGREGATE(15,6,ROW('Usage Detail'!$A$5:$A$204)/(('Usage Detail'!$B$5:$B$204="Tasting")+('Usage Detail'!$B$5:$B$204="Promotional")),ROW(A2))),"")</f>
        <v/>
      </c>
    </row>
    <row r="11">
      <c r="A11" s="3">
        <f>IFERROR(INDEX('Usage Detail'!$A:$A,AGGREGATE(15,6,ROW('Usage Detail'!$A$5:$A$204)/(('Usage Detail'!$B$5:$B$204="Tasting")+('Usage Detail'!$B$5:$B$204="Promotional")),ROW(A3))),"")</f>
        <v/>
      </c>
      <c r="B11" s="3">
        <f>IFERROR(INDEX('Usage Detail'!$B:$B,AGGREGATE(15,6,ROW('Usage Detail'!$A$5:$A$204)/(('Usage Detail'!$B$5:$B$204="Tasting")+('Usage Detail'!$B$5:$B$204="Promotional")),ROW(A3))),"")</f>
        <v/>
      </c>
      <c r="C11" s="3">
        <f>IFERROR(INDEX('Usage Detail'!$C:$C,AGGREGATE(15,6,ROW('Usage Detail'!$A$5:$A$204)/(('Usage Detail'!$B$5:$B$204="Tasting")+('Usage Detail'!$B$5:$B$204="Promotional")),ROW(A3))),"")</f>
        <v/>
      </c>
      <c r="D11" s="3">
        <f>IFERROR(INDEX('Usage Detail'!$D:$D,AGGREGATE(15,6,ROW('Usage Detail'!$A$5:$A$204)/(('Usage Detail'!$B$5:$B$204="Tasting")+('Usage Detail'!$B$5:$B$204="Promotional")),ROW(A3))),"")</f>
        <v/>
      </c>
      <c r="E11" s="4">
        <f>IFERROR(INDEX('Usage Detail'!$E:$E,AGGREGATE(15,6,ROW('Usage Detail'!$A$5:$A$204)/(('Usage Detail'!$B$5:$B$204="Tasting")+('Usage Detail'!$B$5:$B$204="Promotional")),ROW(A3))),"")</f>
        <v/>
      </c>
      <c r="F11" s="4">
        <f>IFERROR(INDEX('Usage Detail'!$F:$F,AGGREGATE(15,6,ROW('Usage Detail'!$A$5:$A$204)/(('Usage Detail'!$B$5:$B$204="Tasting")+('Usage Detail'!$B$5:$B$204="Promotional")),ROW(A3))),"")</f>
        <v/>
      </c>
      <c r="G11" s="4">
        <f>IFERROR(INDEX('Usage Detail'!$G:$G,AGGREGATE(15,6,ROW('Usage Detail'!$A$5:$A$204)/(('Usage Detail'!$B$5:$B$204="Tasting")+('Usage Detail'!$B$5:$B$204="Promotional")),ROW(A3))),"")</f>
        <v/>
      </c>
      <c r="H11" s="4">
        <f>IFERROR(INDEX('Usage Detail'!$H:$H,AGGREGATE(15,6,ROW('Usage Detail'!$A$5:$A$204)/(('Usage Detail'!$B$5:$B$204="Tasting")+('Usage Detail'!$B$5:$B$204="Promotional")),ROW(A3))),"")</f>
        <v/>
      </c>
    </row>
    <row r="12">
      <c r="A12" s="3">
        <f>IFERROR(INDEX('Usage Detail'!$A:$A,AGGREGATE(15,6,ROW('Usage Detail'!$A$5:$A$204)/(('Usage Detail'!$B$5:$B$204="Tasting")+('Usage Detail'!$B$5:$B$204="Promotional")),ROW(A4))),"")</f>
        <v/>
      </c>
      <c r="B12" s="3">
        <f>IFERROR(INDEX('Usage Detail'!$B:$B,AGGREGATE(15,6,ROW('Usage Detail'!$A$5:$A$204)/(('Usage Detail'!$B$5:$B$204="Tasting")+('Usage Detail'!$B$5:$B$204="Promotional")),ROW(A4))),"")</f>
        <v/>
      </c>
      <c r="C12" s="3">
        <f>IFERROR(INDEX('Usage Detail'!$C:$C,AGGREGATE(15,6,ROW('Usage Detail'!$A$5:$A$204)/(('Usage Detail'!$B$5:$B$204="Tasting")+('Usage Detail'!$B$5:$B$204="Promotional")),ROW(A4))),"")</f>
        <v/>
      </c>
      <c r="D12" s="3">
        <f>IFERROR(INDEX('Usage Detail'!$D:$D,AGGREGATE(15,6,ROW('Usage Detail'!$A$5:$A$204)/(('Usage Detail'!$B$5:$B$204="Tasting")+('Usage Detail'!$B$5:$B$204="Promotional")),ROW(A4))),"")</f>
        <v/>
      </c>
      <c r="E12" s="4">
        <f>IFERROR(INDEX('Usage Detail'!$E:$E,AGGREGATE(15,6,ROW('Usage Detail'!$A$5:$A$204)/(('Usage Detail'!$B$5:$B$204="Tasting")+('Usage Detail'!$B$5:$B$204="Promotional")),ROW(A4))),"")</f>
        <v/>
      </c>
      <c r="F12" s="4">
        <f>IFERROR(INDEX('Usage Detail'!$F:$F,AGGREGATE(15,6,ROW('Usage Detail'!$A$5:$A$204)/(('Usage Detail'!$B$5:$B$204="Tasting")+('Usage Detail'!$B$5:$B$204="Promotional")),ROW(A4))),"")</f>
        <v/>
      </c>
      <c r="G12" s="4">
        <f>IFERROR(INDEX('Usage Detail'!$G:$G,AGGREGATE(15,6,ROW('Usage Detail'!$A$5:$A$204)/(('Usage Detail'!$B$5:$B$204="Tasting")+('Usage Detail'!$B$5:$B$204="Promotional")),ROW(A4))),"")</f>
        <v/>
      </c>
      <c r="H12" s="4">
        <f>IFERROR(INDEX('Usage Detail'!$H:$H,AGGREGATE(15,6,ROW('Usage Detail'!$A$5:$A$204)/(('Usage Detail'!$B$5:$B$204="Tasting")+('Usage Detail'!$B$5:$B$204="Promotional")),ROW(A4))),"")</f>
        <v/>
      </c>
    </row>
    <row r="13">
      <c r="A13" s="3">
        <f>IFERROR(INDEX('Usage Detail'!$A:$A,AGGREGATE(15,6,ROW('Usage Detail'!$A$5:$A$204)/(('Usage Detail'!$B$5:$B$204="Tasting")+('Usage Detail'!$B$5:$B$204="Promotional")),ROW(A5))),"")</f>
        <v/>
      </c>
      <c r="B13" s="3">
        <f>IFERROR(INDEX('Usage Detail'!$B:$B,AGGREGATE(15,6,ROW('Usage Detail'!$A$5:$A$204)/(('Usage Detail'!$B$5:$B$204="Tasting")+('Usage Detail'!$B$5:$B$204="Promotional")),ROW(A5))),"")</f>
        <v/>
      </c>
      <c r="C13" s="3">
        <f>IFERROR(INDEX('Usage Detail'!$C:$C,AGGREGATE(15,6,ROW('Usage Detail'!$A$5:$A$204)/(('Usage Detail'!$B$5:$B$204="Tasting")+('Usage Detail'!$B$5:$B$204="Promotional")),ROW(A5))),"")</f>
        <v/>
      </c>
      <c r="D13" s="3">
        <f>IFERROR(INDEX('Usage Detail'!$D:$D,AGGREGATE(15,6,ROW('Usage Detail'!$A$5:$A$204)/(('Usage Detail'!$B$5:$B$204="Tasting")+('Usage Detail'!$B$5:$B$204="Promotional")),ROW(A5))),"")</f>
        <v/>
      </c>
      <c r="E13" s="4">
        <f>IFERROR(INDEX('Usage Detail'!$E:$E,AGGREGATE(15,6,ROW('Usage Detail'!$A$5:$A$204)/(('Usage Detail'!$B$5:$B$204="Tasting")+('Usage Detail'!$B$5:$B$204="Promotional")),ROW(A5))),"")</f>
        <v/>
      </c>
      <c r="F13" s="4">
        <f>IFERROR(INDEX('Usage Detail'!$F:$F,AGGREGATE(15,6,ROW('Usage Detail'!$A$5:$A$204)/(('Usage Detail'!$B$5:$B$204="Tasting")+('Usage Detail'!$B$5:$B$204="Promotional")),ROW(A5))),"")</f>
        <v/>
      </c>
      <c r="G13" s="4">
        <f>IFERROR(INDEX('Usage Detail'!$G:$G,AGGREGATE(15,6,ROW('Usage Detail'!$A$5:$A$204)/(('Usage Detail'!$B$5:$B$204="Tasting")+('Usage Detail'!$B$5:$B$204="Promotional")),ROW(A5))),"")</f>
        <v/>
      </c>
      <c r="H13" s="4">
        <f>IFERROR(INDEX('Usage Detail'!$H:$H,AGGREGATE(15,6,ROW('Usage Detail'!$A$5:$A$204)/(('Usage Detail'!$B$5:$B$204="Tasting")+('Usage Detail'!$B$5:$B$204="Promotional")),ROW(A5))),"")</f>
        <v/>
      </c>
    </row>
    <row r="14">
      <c r="A14" s="3">
        <f>IFERROR(INDEX('Usage Detail'!$A:$A,AGGREGATE(15,6,ROW('Usage Detail'!$A$5:$A$204)/(('Usage Detail'!$B$5:$B$204="Tasting")+('Usage Detail'!$B$5:$B$204="Promotional")),ROW(A6))),"")</f>
        <v/>
      </c>
      <c r="B14" s="3">
        <f>IFERROR(INDEX('Usage Detail'!$B:$B,AGGREGATE(15,6,ROW('Usage Detail'!$A$5:$A$204)/(('Usage Detail'!$B$5:$B$204="Tasting")+('Usage Detail'!$B$5:$B$204="Promotional")),ROW(A6))),"")</f>
        <v/>
      </c>
      <c r="C14" s="3">
        <f>IFERROR(INDEX('Usage Detail'!$C:$C,AGGREGATE(15,6,ROW('Usage Detail'!$A$5:$A$204)/(('Usage Detail'!$B$5:$B$204="Tasting")+('Usage Detail'!$B$5:$B$204="Promotional")),ROW(A6))),"")</f>
        <v/>
      </c>
      <c r="D14" s="3">
        <f>IFERROR(INDEX('Usage Detail'!$D:$D,AGGREGATE(15,6,ROW('Usage Detail'!$A$5:$A$204)/(('Usage Detail'!$B$5:$B$204="Tasting")+('Usage Detail'!$B$5:$B$204="Promotional")),ROW(A6))),"")</f>
        <v/>
      </c>
      <c r="E14" s="4">
        <f>IFERROR(INDEX('Usage Detail'!$E:$E,AGGREGATE(15,6,ROW('Usage Detail'!$A$5:$A$204)/(('Usage Detail'!$B$5:$B$204="Tasting")+('Usage Detail'!$B$5:$B$204="Promotional")),ROW(A6))),"")</f>
        <v/>
      </c>
      <c r="F14" s="4">
        <f>IFERROR(INDEX('Usage Detail'!$F:$F,AGGREGATE(15,6,ROW('Usage Detail'!$A$5:$A$204)/(('Usage Detail'!$B$5:$B$204="Tasting")+('Usage Detail'!$B$5:$B$204="Promotional")),ROW(A6))),"")</f>
        <v/>
      </c>
      <c r="G14" s="4">
        <f>IFERROR(INDEX('Usage Detail'!$G:$G,AGGREGATE(15,6,ROW('Usage Detail'!$A$5:$A$204)/(('Usage Detail'!$B$5:$B$204="Tasting")+('Usage Detail'!$B$5:$B$204="Promotional")),ROW(A6))),"")</f>
        <v/>
      </c>
      <c r="H14" s="4">
        <f>IFERROR(INDEX('Usage Detail'!$H:$H,AGGREGATE(15,6,ROW('Usage Detail'!$A$5:$A$204)/(('Usage Detail'!$B$5:$B$204="Tasting")+('Usage Detail'!$B$5:$B$204="Promotional")),ROW(A6))),"")</f>
        <v/>
      </c>
    </row>
    <row r="15">
      <c r="A15" s="3">
        <f>IFERROR(INDEX('Usage Detail'!$A:$A,AGGREGATE(15,6,ROW('Usage Detail'!$A$5:$A$204)/(('Usage Detail'!$B$5:$B$204="Tasting")+('Usage Detail'!$B$5:$B$204="Promotional")),ROW(A7))),"")</f>
        <v/>
      </c>
      <c r="B15" s="3">
        <f>IFERROR(INDEX('Usage Detail'!$B:$B,AGGREGATE(15,6,ROW('Usage Detail'!$A$5:$A$204)/(('Usage Detail'!$B$5:$B$204="Tasting")+('Usage Detail'!$B$5:$B$204="Promotional")),ROW(A7))),"")</f>
        <v/>
      </c>
      <c r="C15" s="3">
        <f>IFERROR(INDEX('Usage Detail'!$C:$C,AGGREGATE(15,6,ROW('Usage Detail'!$A$5:$A$204)/(('Usage Detail'!$B$5:$B$204="Tasting")+('Usage Detail'!$B$5:$B$204="Promotional")),ROW(A7))),"")</f>
        <v/>
      </c>
      <c r="D15" s="3">
        <f>IFERROR(INDEX('Usage Detail'!$D:$D,AGGREGATE(15,6,ROW('Usage Detail'!$A$5:$A$204)/(('Usage Detail'!$B$5:$B$204="Tasting")+('Usage Detail'!$B$5:$B$204="Promotional")),ROW(A7))),"")</f>
        <v/>
      </c>
      <c r="E15" s="4">
        <f>IFERROR(INDEX('Usage Detail'!$E:$E,AGGREGATE(15,6,ROW('Usage Detail'!$A$5:$A$204)/(('Usage Detail'!$B$5:$B$204="Tasting")+('Usage Detail'!$B$5:$B$204="Promotional")),ROW(A7))),"")</f>
        <v/>
      </c>
      <c r="F15" s="4">
        <f>IFERROR(INDEX('Usage Detail'!$F:$F,AGGREGATE(15,6,ROW('Usage Detail'!$A$5:$A$204)/(('Usage Detail'!$B$5:$B$204="Tasting")+('Usage Detail'!$B$5:$B$204="Promotional")),ROW(A7))),"")</f>
        <v/>
      </c>
      <c r="G15" s="4">
        <f>IFERROR(INDEX('Usage Detail'!$G:$G,AGGREGATE(15,6,ROW('Usage Detail'!$A$5:$A$204)/(('Usage Detail'!$B$5:$B$204="Tasting")+('Usage Detail'!$B$5:$B$204="Promotional")),ROW(A7))),"")</f>
        <v/>
      </c>
      <c r="H15" s="4">
        <f>IFERROR(INDEX('Usage Detail'!$H:$H,AGGREGATE(15,6,ROW('Usage Detail'!$A$5:$A$204)/(('Usage Detail'!$B$5:$B$204="Tasting")+('Usage Detail'!$B$5:$B$204="Promotional")),ROW(A7))),"")</f>
        <v/>
      </c>
    </row>
    <row r="16">
      <c r="A16" s="3">
        <f>IFERROR(INDEX('Usage Detail'!$A:$A,AGGREGATE(15,6,ROW('Usage Detail'!$A$5:$A$204)/(('Usage Detail'!$B$5:$B$204="Tasting")+('Usage Detail'!$B$5:$B$204="Promotional")),ROW(A8))),"")</f>
        <v/>
      </c>
      <c r="B16" s="3">
        <f>IFERROR(INDEX('Usage Detail'!$B:$B,AGGREGATE(15,6,ROW('Usage Detail'!$A$5:$A$204)/(('Usage Detail'!$B$5:$B$204="Tasting")+('Usage Detail'!$B$5:$B$204="Promotional")),ROW(A8))),"")</f>
        <v/>
      </c>
      <c r="C16" s="3">
        <f>IFERROR(INDEX('Usage Detail'!$C:$C,AGGREGATE(15,6,ROW('Usage Detail'!$A$5:$A$204)/(('Usage Detail'!$B$5:$B$204="Tasting")+('Usage Detail'!$B$5:$B$204="Promotional")),ROW(A8))),"")</f>
        <v/>
      </c>
      <c r="D16" s="3">
        <f>IFERROR(INDEX('Usage Detail'!$D:$D,AGGREGATE(15,6,ROW('Usage Detail'!$A$5:$A$204)/(('Usage Detail'!$B$5:$B$204="Tasting")+('Usage Detail'!$B$5:$B$204="Promotional")),ROW(A8))),"")</f>
        <v/>
      </c>
      <c r="E16" s="4">
        <f>IFERROR(INDEX('Usage Detail'!$E:$E,AGGREGATE(15,6,ROW('Usage Detail'!$A$5:$A$204)/(('Usage Detail'!$B$5:$B$204="Tasting")+('Usage Detail'!$B$5:$B$204="Promotional")),ROW(A8))),"")</f>
        <v/>
      </c>
      <c r="F16" s="4">
        <f>IFERROR(INDEX('Usage Detail'!$F:$F,AGGREGATE(15,6,ROW('Usage Detail'!$A$5:$A$204)/(('Usage Detail'!$B$5:$B$204="Tasting")+('Usage Detail'!$B$5:$B$204="Promotional")),ROW(A8))),"")</f>
        <v/>
      </c>
      <c r="G16" s="4">
        <f>IFERROR(INDEX('Usage Detail'!$G:$G,AGGREGATE(15,6,ROW('Usage Detail'!$A$5:$A$204)/(('Usage Detail'!$B$5:$B$204="Tasting")+('Usage Detail'!$B$5:$B$204="Promotional")),ROW(A8))),"")</f>
        <v/>
      </c>
      <c r="H16" s="4">
        <f>IFERROR(INDEX('Usage Detail'!$H:$H,AGGREGATE(15,6,ROW('Usage Detail'!$A$5:$A$204)/(('Usage Detail'!$B$5:$B$204="Tasting")+('Usage Detail'!$B$5:$B$204="Promotional")),ROW(A8))),"")</f>
        <v/>
      </c>
    </row>
    <row r="17">
      <c r="A17" s="3">
        <f>IFERROR(INDEX('Usage Detail'!$A:$A,AGGREGATE(15,6,ROW('Usage Detail'!$A$5:$A$204)/(('Usage Detail'!$B$5:$B$204="Tasting")+('Usage Detail'!$B$5:$B$204="Promotional")),ROW(A9))),"")</f>
        <v/>
      </c>
      <c r="B17" s="3">
        <f>IFERROR(INDEX('Usage Detail'!$B:$B,AGGREGATE(15,6,ROW('Usage Detail'!$A$5:$A$204)/(('Usage Detail'!$B$5:$B$204="Tasting")+('Usage Detail'!$B$5:$B$204="Promotional")),ROW(A9))),"")</f>
        <v/>
      </c>
      <c r="C17" s="3">
        <f>IFERROR(INDEX('Usage Detail'!$C:$C,AGGREGATE(15,6,ROW('Usage Detail'!$A$5:$A$204)/(('Usage Detail'!$B$5:$B$204="Tasting")+('Usage Detail'!$B$5:$B$204="Promotional")),ROW(A9))),"")</f>
        <v/>
      </c>
      <c r="D17" s="3">
        <f>IFERROR(INDEX('Usage Detail'!$D:$D,AGGREGATE(15,6,ROW('Usage Detail'!$A$5:$A$204)/(('Usage Detail'!$B$5:$B$204="Tasting")+('Usage Detail'!$B$5:$B$204="Promotional")),ROW(A9))),"")</f>
        <v/>
      </c>
      <c r="E17" s="4">
        <f>IFERROR(INDEX('Usage Detail'!$E:$E,AGGREGATE(15,6,ROW('Usage Detail'!$A$5:$A$204)/(('Usage Detail'!$B$5:$B$204="Tasting")+('Usage Detail'!$B$5:$B$204="Promotional")),ROW(A9))),"")</f>
        <v/>
      </c>
      <c r="F17" s="4">
        <f>IFERROR(INDEX('Usage Detail'!$F:$F,AGGREGATE(15,6,ROW('Usage Detail'!$A$5:$A$204)/(('Usage Detail'!$B$5:$B$204="Tasting")+('Usage Detail'!$B$5:$B$204="Promotional")),ROW(A9))),"")</f>
        <v/>
      </c>
      <c r="G17" s="4">
        <f>IFERROR(INDEX('Usage Detail'!$G:$G,AGGREGATE(15,6,ROW('Usage Detail'!$A$5:$A$204)/(('Usage Detail'!$B$5:$B$204="Tasting")+('Usage Detail'!$B$5:$B$204="Promotional")),ROW(A9))),"")</f>
        <v/>
      </c>
      <c r="H17" s="4">
        <f>IFERROR(INDEX('Usage Detail'!$H:$H,AGGREGATE(15,6,ROW('Usage Detail'!$A$5:$A$204)/(('Usage Detail'!$B$5:$B$204="Tasting")+('Usage Detail'!$B$5:$B$204="Promotional")),ROW(A9))),"")</f>
        <v/>
      </c>
    </row>
    <row r="18">
      <c r="A18" s="3">
        <f>IFERROR(INDEX('Usage Detail'!$A:$A,AGGREGATE(15,6,ROW('Usage Detail'!$A$5:$A$204)/(('Usage Detail'!$B$5:$B$204="Tasting")+('Usage Detail'!$B$5:$B$204="Promotional")),ROW(A10))),"")</f>
        <v/>
      </c>
      <c r="B18" s="3">
        <f>IFERROR(INDEX('Usage Detail'!$B:$B,AGGREGATE(15,6,ROW('Usage Detail'!$A$5:$A$204)/(('Usage Detail'!$B$5:$B$204="Tasting")+('Usage Detail'!$B$5:$B$204="Promotional")),ROW(A10))),"")</f>
        <v/>
      </c>
      <c r="C18" s="3">
        <f>IFERROR(INDEX('Usage Detail'!$C:$C,AGGREGATE(15,6,ROW('Usage Detail'!$A$5:$A$204)/(('Usage Detail'!$B$5:$B$204="Tasting")+('Usage Detail'!$B$5:$B$204="Promotional")),ROW(A10))),"")</f>
        <v/>
      </c>
      <c r="D18" s="3">
        <f>IFERROR(INDEX('Usage Detail'!$D:$D,AGGREGATE(15,6,ROW('Usage Detail'!$A$5:$A$204)/(('Usage Detail'!$B$5:$B$204="Tasting")+('Usage Detail'!$B$5:$B$204="Promotional")),ROW(A10))),"")</f>
        <v/>
      </c>
      <c r="E18" s="4">
        <f>IFERROR(INDEX('Usage Detail'!$E:$E,AGGREGATE(15,6,ROW('Usage Detail'!$A$5:$A$204)/(('Usage Detail'!$B$5:$B$204="Tasting")+('Usage Detail'!$B$5:$B$204="Promotional")),ROW(A10))),"")</f>
        <v/>
      </c>
      <c r="F18" s="4">
        <f>IFERROR(INDEX('Usage Detail'!$F:$F,AGGREGATE(15,6,ROW('Usage Detail'!$A$5:$A$204)/(('Usage Detail'!$B$5:$B$204="Tasting")+('Usage Detail'!$B$5:$B$204="Promotional")),ROW(A10))),"")</f>
        <v/>
      </c>
      <c r="G18" s="4">
        <f>IFERROR(INDEX('Usage Detail'!$G:$G,AGGREGATE(15,6,ROW('Usage Detail'!$A$5:$A$204)/(('Usage Detail'!$B$5:$B$204="Tasting")+('Usage Detail'!$B$5:$B$204="Promotional")),ROW(A10))),"")</f>
        <v/>
      </c>
      <c r="H18" s="4">
        <f>IFERROR(INDEX('Usage Detail'!$H:$H,AGGREGATE(15,6,ROW('Usage Detail'!$A$5:$A$204)/(('Usage Detail'!$B$5:$B$204="Tasting")+('Usage Detail'!$B$5:$B$204="Promotional")),ROW(A10))),"")</f>
        <v/>
      </c>
    </row>
    <row r="19">
      <c r="A19" s="3">
        <f>IFERROR(INDEX('Usage Detail'!$A:$A,AGGREGATE(15,6,ROW('Usage Detail'!$A$5:$A$204)/(('Usage Detail'!$B$5:$B$204="Tasting")+('Usage Detail'!$B$5:$B$204="Promotional")),ROW(A11))),"")</f>
        <v/>
      </c>
      <c r="B19" s="3">
        <f>IFERROR(INDEX('Usage Detail'!$B:$B,AGGREGATE(15,6,ROW('Usage Detail'!$A$5:$A$204)/(('Usage Detail'!$B$5:$B$204="Tasting")+('Usage Detail'!$B$5:$B$204="Promotional")),ROW(A11))),"")</f>
        <v/>
      </c>
      <c r="C19" s="3">
        <f>IFERROR(INDEX('Usage Detail'!$C:$C,AGGREGATE(15,6,ROW('Usage Detail'!$A$5:$A$204)/(('Usage Detail'!$B$5:$B$204="Tasting")+('Usage Detail'!$B$5:$B$204="Promotional")),ROW(A11))),"")</f>
        <v/>
      </c>
      <c r="D19" s="3">
        <f>IFERROR(INDEX('Usage Detail'!$D:$D,AGGREGATE(15,6,ROW('Usage Detail'!$A$5:$A$204)/(('Usage Detail'!$B$5:$B$204="Tasting")+('Usage Detail'!$B$5:$B$204="Promotional")),ROW(A11))),"")</f>
        <v/>
      </c>
      <c r="E19" s="4">
        <f>IFERROR(INDEX('Usage Detail'!$E:$E,AGGREGATE(15,6,ROW('Usage Detail'!$A$5:$A$204)/(('Usage Detail'!$B$5:$B$204="Tasting")+('Usage Detail'!$B$5:$B$204="Promotional")),ROW(A11))),"")</f>
        <v/>
      </c>
      <c r="F19" s="4">
        <f>IFERROR(INDEX('Usage Detail'!$F:$F,AGGREGATE(15,6,ROW('Usage Detail'!$A$5:$A$204)/(('Usage Detail'!$B$5:$B$204="Tasting")+('Usage Detail'!$B$5:$B$204="Promotional")),ROW(A11))),"")</f>
        <v/>
      </c>
      <c r="G19" s="4">
        <f>IFERROR(INDEX('Usage Detail'!$G:$G,AGGREGATE(15,6,ROW('Usage Detail'!$A$5:$A$204)/(('Usage Detail'!$B$5:$B$204="Tasting")+('Usage Detail'!$B$5:$B$204="Promotional")),ROW(A11))),"")</f>
        <v/>
      </c>
      <c r="H19" s="4">
        <f>IFERROR(INDEX('Usage Detail'!$H:$H,AGGREGATE(15,6,ROW('Usage Detail'!$A$5:$A$204)/(('Usage Detail'!$B$5:$B$204="Tasting")+('Usage Detail'!$B$5:$B$204="Promotional")),ROW(A11))),"")</f>
        <v/>
      </c>
    </row>
    <row r="20">
      <c r="A20" s="3">
        <f>IFERROR(INDEX('Usage Detail'!$A:$A,AGGREGATE(15,6,ROW('Usage Detail'!$A$5:$A$204)/(('Usage Detail'!$B$5:$B$204="Tasting")+('Usage Detail'!$B$5:$B$204="Promotional")),ROW(A12))),"")</f>
        <v/>
      </c>
      <c r="B20" s="3">
        <f>IFERROR(INDEX('Usage Detail'!$B:$B,AGGREGATE(15,6,ROW('Usage Detail'!$A$5:$A$204)/(('Usage Detail'!$B$5:$B$204="Tasting")+('Usage Detail'!$B$5:$B$204="Promotional")),ROW(A12))),"")</f>
        <v/>
      </c>
      <c r="C20" s="3">
        <f>IFERROR(INDEX('Usage Detail'!$C:$C,AGGREGATE(15,6,ROW('Usage Detail'!$A$5:$A$204)/(('Usage Detail'!$B$5:$B$204="Tasting")+('Usage Detail'!$B$5:$B$204="Promotional")),ROW(A12))),"")</f>
        <v/>
      </c>
      <c r="D20" s="3">
        <f>IFERROR(INDEX('Usage Detail'!$D:$D,AGGREGATE(15,6,ROW('Usage Detail'!$A$5:$A$204)/(('Usage Detail'!$B$5:$B$204="Tasting")+('Usage Detail'!$B$5:$B$204="Promotional")),ROW(A12))),"")</f>
        <v/>
      </c>
      <c r="E20" s="4">
        <f>IFERROR(INDEX('Usage Detail'!$E:$E,AGGREGATE(15,6,ROW('Usage Detail'!$A$5:$A$204)/(('Usage Detail'!$B$5:$B$204="Tasting")+('Usage Detail'!$B$5:$B$204="Promotional")),ROW(A12))),"")</f>
        <v/>
      </c>
      <c r="F20" s="4">
        <f>IFERROR(INDEX('Usage Detail'!$F:$F,AGGREGATE(15,6,ROW('Usage Detail'!$A$5:$A$204)/(('Usage Detail'!$B$5:$B$204="Tasting")+('Usage Detail'!$B$5:$B$204="Promotional")),ROW(A12))),"")</f>
        <v/>
      </c>
      <c r="G20" s="4">
        <f>IFERROR(INDEX('Usage Detail'!$G:$G,AGGREGATE(15,6,ROW('Usage Detail'!$A$5:$A$204)/(('Usage Detail'!$B$5:$B$204="Tasting")+('Usage Detail'!$B$5:$B$204="Promotional")),ROW(A12))),"")</f>
        <v/>
      </c>
      <c r="H20" s="4">
        <f>IFERROR(INDEX('Usage Detail'!$H:$H,AGGREGATE(15,6,ROW('Usage Detail'!$A$5:$A$204)/(('Usage Detail'!$B$5:$B$204="Tasting")+('Usage Detail'!$B$5:$B$204="Promotional")),ROW(A12))),"")</f>
        <v/>
      </c>
    </row>
    <row r="21">
      <c r="A21" s="3">
        <f>IFERROR(INDEX('Usage Detail'!$A:$A,AGGREGATE(15,6,ROW('Usage Detail'!$A$5:$A$204)/(('Usage Detail'!$B$5:$B$204="Tasting")+('Usage Detail'!$B$5:$B$204="Promotional")),ROW(A13))),"")</f>
        <v/>
      </c>
      <c r="B21" s="3">
        <f>IFERROR(INDEX('Usage Detail'!$B:$B,AGGREGATE(15,6,ROW('Usage Detail'!$A$5:$A$204)/(('Usage Detail'!$B$5:$B$204="Tasting")+('Usage Detail'!$B$5:$B$204="Promotional")),ROW(A13))),"")</f>
        <v/>
      </c>
      <c r="C21" s="3">
        <f>IFERROR(INDEX('Usage Detail'!$C:$C,AGGREGATE(15,6,ROW('Usage Detail'!$A$5:$A$204)/(('Usage Detail'!$B$5:$B$204="Tasting")+('Usage Detail'!$B$5:$B$204="Promotional")),ROW(A13))),"")</f>
        <v/>
      </c>
      <c r="D21" s="3">
        <f>IFERROR(INDEX('Usage Detail'!$D:$D,AGGREGATE(15,6,ROW('Usage Detail'!$A$5:$A$204)/(('Usage Detail'!$B$5:$B$204="Tasting")+('Usage Detail'!$B$5:$B$204="Promotional")),ROW(A13))),"")</f>
        <v/>
      </c>
      <c r="E21" s="4">
        <f>IFERROR(INDEX('Usage Detail'!$E:$E,AGGREGATE(15,6,ROW('Usage Detail'!$A$5:$A$204)/(('Usage Detail'!$B$5:$B$204="Tasting")+('Usage Detail'!$B$5:$B$204="Promotional")),ROW(A13))),"")</f>
        <v/>
      </c>
      <c r="F21" s="4">
        <f>IFERROR(INDEX('Usage Detail'!$F:$F,AGGREGATE(15,6,ROW('Usage Detail'!$A$5:$A$204)/(('Usage Detail'!$B$5:$B$204="Tasting")+('Usage Detail'!$B$5:$B$204="Promotional")),ROW(A13))),"")</f>
        <v/>
      </c>
      <c r="G21" s="4">
        <f>IFERROR(INDEX('Usage Detail'!$G:$G,AGGREGATE(15,6,ROW('Usage Detail'!$A$5:$A$204)/(('Usage Detail'!$B$5:$B$204="Tasting")+('Usage Detail'!$B$5:$B$204="Promotional")),ROW(A13))),"")</f>
        <v/>
      </c>
      <c r="H21" s="4">
        <f>IFERROR(INDEX('Usage Detail'!$H:$H,AGGREGATE(15,6,ROW('Usage Detail'!$A$5:$A$204)/(('Usage Detail'!$B$5:$B$204="Tasting")+('Usage Detail'!$B$5:$B$204="Promotional")),ROW(A13))),"")</f>
        <v/>
      </c>
    </row>
    <row r="22">
      <c r="A22" s="3">
        <f>IFERROR(INDEX('Usage Detail'!$A:$A,AGGREGATE(15,6,ROW('Usage Detail'!$A$5:$A$204)/(('Usage Detail'!$B$5:$B$204="Tasting")+('Usage Detail'!$B$5:$B$204="Promotional")),ROW(A14))),"")</f>
        <v/>
      </c>
      <c r="B22" s="3">
        <f>IFERROR(INDEX('Usage Detail'!$B:$B,AGGREGATE(15,6,ROW('Usage Detail'!$A$5:$A$204)/(('Usage Detail'!$B$5:$B$204="Tasting")+('Usage Detail'!$B$5:$B$204="Promotional")),ROW(A14))),"")</f>
        <v/>
      </c>
      <c r="C22" s="3">
        <f>IFERROR(INDEX('Usage Detail'!$C:$C,AGGREGATE(15,6,ROW('Usage Detail'!$A$5:$A$204)/(('Usage Detail'!$B$5:$B$204="Tasting")+('Usage Detail'!$B$5:$B$204="Promotional")),ROW(A14))),"")</f>
        <v/>
      </c>
      <c r="D22" s="3">
        <f>IFERROR(INDEX('Usage Detail'!$D:$D,AGGREGATE(15,6,ROW('Usage Detail'!$A$5:$A$204)/(('Usage Detail'!$B$5:$B$204="Tasting")+('Usage Detail'!$B$5:$B$204="Promotional")),ROW(A14))),"")</f>
        <v/>
      </c>
      <c r="E22" s="4">
        <f>IFERROR(INDEX('Usage Detail'!$E:$E,AGGREGATE(15,6,ROW('Usage Detail'!$A$5:$A$204)/(('Usage Detail'!$B$5:$B$204="Tasting")+('Usage Detail'!$B$5:$B$204="Promotional")),ROW(A14))),"")</f>
        <v/>
      </c>
      <c r="F22" s="4">
        <f>IFERROR(INDEX('Usage Detail'!$F:$F,AGGREGATE(15,6,ROW('Usage Detail'!$A$5:$A$204)/(('Usage Detail'!$B$5:$B$204="Tasting")+('Usage Detail'!$B$5:$B$204="Promotional")),ROW(A14))),"")</f>
        <v/>
      </c>
      <c r="G22" s="4">
        <f>IFERROR(INDEX('Usage Detail'!$G:$G,AGGREGATE(15,6,ROW('Usage Detail'!$A$5:$A$204)/(('Usage Detail'!$B$5:$B$204="Tasting")+('Usage Detail'!$B$5:$B$204="Promotional")),ROW(A14))),"")</f>
        <v/>
      </c>
      <c r="H22" s="4">
        <f>IFERROR(INDEX('Usage Detail'!$H:$H,AGGREGATE(15,6,ROW('Usage Detail'!$A$5:$A$204)/(('Usage Detail'!$B$5:$B$204="Tasting")+('Usage Detail'!$B$5:$B$204="Promotional")),ROW(A14))),"")</f>
        <v/>
      </c>
    </row>
    <row r="23">
      <c r="A23" s="3">
        <f>IFERROR(INDEX('Usage Detail'!$A:$A,AGGREGATE(15,6,ROW('Usage Detail'!$A$5:$A$204)/(('Usage Detail'!$B$5:$B$204="Tasting")+('Usage Detail'!$B$5:$B$204="Promotional")),ROW(A15))),"")</f>
        <v/>
      </c>
      <c r="B23" s="3">
        <f>IFERROR(INDEX('Usage Detail'!$B:$B,AGGREGATE(15,6,ROW('Usage Detail'!$A$5:$A$204)/(('Usage Detail'!$B$5:$B$204="Tasting")+('Usage Detail'!$B$5:$B$204="Promotional")),ROW(A15))),"")</f>
        <v/>
      </c>
      <c r="C23" s="3">
        <f>IFERROR(INDEX('Usage Detail'!$C:$C,AGGREGATE(15,6,ROW('Usage Detail'!$A$5:$A$204)/(('Usage Detail'!$B$5:$B$204="Tasting")+('Usage Detail'!$B$5:$B$204="Promotional")),ROW(A15))),"")</f>
        <v/>
      </c>
      <c r="D23" s="3">
        <f>IFERROR(INDEX('Usage Detail'!$D:$D,AGGREGATE(15,6,ROW('Usage Detail'!$A$5:$A$204)/(('Usage Detail'!$B$5:$B$204="Tasting")+('Usage Detail'!$B$5:$B$204="Promotional")),ROW(A15))),"")</f>
        <v/>
      </c>
      <c r="E23" s="4">
        <f>IFERROR(INDEX('Usage Detail'!$E:$E,AGGREGATE(15,6,ROW('Usage Detail'!$A$5:$A$204)/(('Usage Detail'!$B$5:$B$204="Tasting")+('Usage Detail'!$B$5:$B$204="Promotional")),ROW(A15))),"")</f>
        <v/>
      </c>
      <c r="F23" s="4">
        <f>IFERROR(INDEX('Usage Detail'!$F:$F,AGGREGATE(15,6,ROW('Usage Detail'!$A$5:$A$204)/(('Usage Detail'!$B$5:$B$204="Tasting")+('Usage Detail'!$B$5:$B$204="Promotional")),ROW(A15))),"")</f>
        <v/>
      </c>
      <c r="G23" s="4">
        <f>IFERROR(INDEX('Usage Detail'!$G:$G,AGGREGATE(15,6,ROW('Usage Detail'!$A$5:$A$204)/(('Usage Detail'!$B$5:$B$204="Tasting")+('Usage Detail'!$B$5:$B$204="Promotional")),ROW(A15))),"")</f>
        <v/>
      </c>
      <c r="H23" s="4">
        <f>IFERROR(INDEX('Usage Detail'!$H:$H,AGGREGATE(15,6,ROW('Usage Detail'!$A$5:$A$204)/(('Usage Detail'!$B$5:$B$204="Tasting")+('Usage Detail'!$B$5:$B$204="Promotional")),ROW(A15))),"")</f>
        <v/>
      </c>
    </row>
    <row r="24">
      <c r="A24" s="3">
        <f>IFERROR(INDEX('Usage Detail'!$A:$A,AGGREGATE(15,6,ROW('Usage Detail'!$A$5:$A$204)/(('Usage Detail'!$B$5:$B$204="Tasting")+('Usage Detail'!$B$5:$B$204="Promotional")),ROW(A16))),"")</f>
        <v/>
      </c>
      <c r="B24" s="3">
        <f>IFERROR(INDEX('Usage Detail'!$B:$B,AGGREGATE(15,6,ROW('Usage Detail'!$A$5:$A$204)/(('Usage Detail'!$B$5:$B$204="Tasting")+('Usage Detail'!$B$5:$B$204="Promotional")),ROW(A16))),"")</f>
        <v/>
      </c>
      <c r="C24" s="3">
        <f>IFERROR(INDEX('Usage Detail'!$C:$C,AGGREGATE(15,6,ROW('Usage Detail'!$A$5:$A$204)/(('Usage Detail'!$B$5:$B$204="Tasting")+('Usage Detail'!$B$5:$B$204="Promotional")),ROW(A16))),"")</f>
        <v/>
      </c>
      <c r="D24" s="3">
        <f>IFERROR(INDEX('Usage Detail'!$D:$D,AGGREGATE(15,6,ROW('Usage Detail'!$A$5:$A$204)/(('Usage Detail'!$B$5:$B$204="Tasting")+('Usage Detail'!$B$5:$B$204="Promotional")),ROW(A16))),"")</f>
        <v/>
      </c>
      <c r="E24" s="4">
        <f>IFERROR(INDEX('Usage Detail'!$E:$E,AGGREGATE(15,6,ROW('Usage Detail'!$A$5:$A$204)/(('Usage Detail'!$B$5:$B$204="Tasting")+('Usage Detail'!$B$5:$B$204="Promotional")),ROW(A16))),"")</f>
        <v/>
      </c>
      <c r="F24" s="4">
        <f>IFERROR(INDEX('Usage Detail'!$F:$F,AGGREGATE(15,6,ROW('Usage Detail'!$A$5:$A$204)/(('Usage Detail'!$B$5:$B$204="Tasting")+('Usage Detail'!$B$5:$B$204="Promotional")),ROW(A16))),"")</f>
        <v/>
      </c>
      <c r="G24" s="4">
        <f>IFERROR(INDEX('Usage Detail'!$G:$G,AGGREGATE(15,6,ROW('Usage Detail'!$A$5:$A$204)/(('Usage Detail'!$B$5:$B$204="Tasting")+('Usage Detail'!$B$5:$B$204="Promotional")),ROW(A16))),"")</f>
        <v/>
      </c>
      <c r="H24" s="4">
        <f>IFERROR(INDEX('Usage Detail'!$H:$H,AGGREGATE(15,6,ROW('Usage Detail'!$A$5:$A$204)/(('Usage Detail'!$B$5:$B$204="Tasting")+('Usage Detail'!$B$5:$B$204="Promotional")),ROW(A16))),"")</f>
        <v/>
      </c>
    </row>
    <row r="25">
      <c r="A25" s="3">
        <f>IFERROR(INDEX('Usage Detail'!$A:$A,AGGREGATE(15,6,ROW('Usage Detail'!$A$5:$A$204)/(('Usage Detail'!$B$5:$B$204="Tasting")+('Usage Detail'!$B$5:$B$204="Promotional")),ROW(A17))),"")</f>
        <v/>
      </c>
      <c r="B25" s="3">
        <f>IFERROR(INDEX('Usage Detail'!$B:$B,AGGREGATE(15,6,ROW('Usage Detail'!$A$5:$A$204)/(('Usage Detail'!$B$5:$B$204="Tasting")+('Usage Detail'!$B$5:$B$204="Promotional")),ROW(A17))),"")</f>
        <v/>
      </c>
      <c r="C25" s="3">
        <f>IFERROR(INDEX('Usage Detail'!$C:$C,AGGREGATE(15,6,ROW('Usage Detail'!$A$5:$A$204)/(('Usage Detail'!$B$5:$B$204="Tasting")+('Usage Detail'!$B$5:$B$204="Promotional")),ROW(A17))),"")</f>
        <v/>
      </c>
      <c r="D25" s="3">
        <f>IFERROR(INDEX('Usage Detail'!$D:$D,AGGREGATE(15,6,ROW('Usage Detail'!$A$5:$A$204)/(('Usage Detail'!$B$5:$B$204="Tasting")+('Usage Detail'!$B$5:$B$204="Promotional")),ROW(A17))),"")</f>
        <v/>
      </c>
      <c r="E25" s="4">
        <f>IFERROR(INDEX('Usage Detail'!$E:$E,AGGREGATE(15,6,ROW('Usage Detail'!$A$5:$A$204)/(('Usage Detail'!$B$5:$B$204="Tasting")+('Usage Detail'!$B$5:$B$204="Promotional")),ROW(A17))),"")</f>
        <v/>
      </c>
      <c r="F25" s="4">
        <f>IFERROR(INDEX('Usage Detail'!$F:$F,AGGREGATE(15,6,ROW('Usage Detail'!$A$5:$A$204)/(('Usage Detail'!$B$5:$B$204="Tasting")+('Usage Detail'!$B$5:$B$204="Promotional")),ROW(A17))),"")</f>
        <v/>
      </c>
      <c r="G25" s="4">
        <f>IFERROR(INDEX('Usage Detail'!$G:$G,AGGREGATE(15,6,ROW('Usage Detail'!$A$5:$A$204)/(('Usage Detail'!$B$5:$B$204="Tasting")+('Usage Detail'!$B$5:$B$204="Promotional")),ROW(A17))),"")</f>
        <v/>
      </c>
      <c r="H25" s="4">
        <f>IFERROR(INDEX('Usage Detail'!$H:$H,AGGREGATE(15,6,ROW('Usage Detail'!$A$5:$A$204)/(('Usage Detail'!$B$5:$B$204="Tasting")+('Usage Detail'!$B$5:$B$204="Promotional")),ROW(A17))),"")</f>
        <v/>
      </c>
    </row>
    <row r="26">
      <c r="A26" s="3">
        <f>IFERROR(INDEX('Usage Detail'!$A:$A,AGGREGATE(15,6,ROW('Usage Detail'!$A$5:$A$204)/(('Usage Detail'!$B$5:$B$204="Tasting")+('Usage Detail'!$B$5:$B$204="Promotional")),ROW(A18))),"")</f>
        <v/>
      </c>
      <c r="B26" s="3">
        <f>IFERROR(INDEX('Usage Detail'!$B:$B,AGGREGATE(15,6,ROW('Usage Detail'!$A$5:$A$204)/(('Usage Detail'!$B$5:$B$204="Tasting")+('Usage Detail'!$B$5:$B$204="Promotional")),ROW(A18))),"")</f>
        <v/>
      </c>
      <c r="C26" s="3">
        <f>IFERROR(INDEX('Usage Detail'!$C:$C,AGGREGATE(15,6,ROW('Usage Detail'!$A$5:$A$204)/(('Usage Detail'!$B$5:$B$204="Tasting")+('Usage Detail'!$B$5:$B$204="Promotional")),ROW(A18))),"")</f>
        <v/>
      </c>
      <c r="D26" s="3">
        <f>IFERROR(INDEX('Usage Detail'!$D:$D,AGGREGATE(15,6,ROW('Usage Detail'!$A$5:$A$204)/(('Usage Detail'!$B$5:$B$204="Tasting")+('Usage Detail'!$B$5:$B$204="Promotional")),ROW(A18))),"")</f>
        <v/>
      </c>
      <c r="E26" s="4">
        <f>IFERROR(INDEX('Usage Detail'!$E:$E,AGGREGATE(15,6,ROW('Usage Detail'!$A$5:$A$204)/(('Usage Detail'!$B$5:$B$204="Tasting")+('Usage Detail'!$B$5:$B$204="Promotional")),ROW(A18))),"")</f>
        <v/>
      </c>
      <c r="F26" s="4">
        <f>IFERROR(INDEX('Usage Detail'!$F:$F,AGGREGATE(15,6,ROW('Usage Detail'!$A$5:$A$204)/(('Usage Detail'!$B$5:$B$204="Tasting")+('Usage Detail'!$B$5:$B$204="Promotional")),ROW(A18))),"")</f>
        <v/>
      </c>
      <c r="G26" s="4">
        <f>IFERROR(INDEX('Usage Detail'!$G:$G,AGGREGATE(15,6,ROW('Usage Detail'!$A$5:$A$204)/(('Usage Detail'!$B$5:$B$204="Tasting")+('Usage Detail'!$B$5:$B$204="Promotional")),ROW(A18))),"")</f>
        <v/>
      </c>
      <c r="H26" s="4">
        <f>IFERROR(INDEX('Usage Detail'!$H:$H,AGGREGATE(15,6,ROW('Usage Detail'!$A$5:$A$204)/(('Usage Detail'!$B$5:$B$204="Tasting")+('Usage Detail'!$B$5:$B$204="Promotional")),ROW(A18))),"")</f>
        <v/>
      </c>
    </row>
    <row r="27">
      <c r="A27" s="3">
        <f>IFERROR(INDEX('Usage Detail'!$A:$A,AGGREGATE(15,6,ROW('Usage Detail'!$A$5:$A$204)/(('Usage Detail'!$B$5:$B$204="Tasting")+('Usage Detail'!$B$5:$B$204="Promotional")),ROW(A19))),"")</f>
        <v/>
      </c>
      <c r="B27" s="3">
        <f>IFERROR(INDEX('Usage Detail'!$B:$B,AGGREGATE(15,6,ROW('Usage Detail'!$A$5:$A$204)/(('Usage Detail'!$B$5:$B$204="Tasting")+('Usage Detail'!$B$5:$B$204="Promotional")),ROW(A19))),"")</f>
        <v/>
      </c>
      <c r="C27" s="3">
        <f>IFERROR(INDEX('Usage Detail'!$C:$C,AGGREGATE(15,6,ROW('Usage Detail'!$A$5:$A$204)/(('Usage Detail'!$B$5:$B$204="Tasting")+('Usage Detail'!$B$5:$B$204="Promotional")),ROW(A19))),"")</f>
        <v/>
      </c>
      <c r="D27" s="3">
        <f>IFERROR(INDEX('Usage Detail'!$D:$D,AGGREGATE(15,6,ROW('Usage Detail'!$A$5:$A$204)/(('Usage Detail'!$B$5:$B$204="Tasting")+('Usage Detail'!$B$5:$B$204="Promotional")),ROW(A19))),"")</f>
        <v/>
      </c>
      <c r="E27" s="4">
        <f>IFERROR(INDEX('Usage Detail'!$E:$E,AGGREGATE(15,6,ROW('Usage Detail'!$A$5:$A$204)/(('Usage Detail'!$B$5:$B$204="Tasting")+('Usage Detail'!$B$5:$B$204="Promotional")),ROW(A19))),"")</f>
        <v/>
      </c>
      <c r="F27" s="4">
        <f>IFERROR(INDEX('Usage Detail'!$F:$F,AGGREGATE(15,6,ROW('Usage Detail'!$A$5:$A$204)/(('Usage Detail'!$B$5:$B$204="Tasting")+('Usage Detail'!$B$5:$B$204="Promotional")),ROW(A19))),"")</f>
        <v/>
      </c>
      <c r="G27" s="4">
        <f>IFERROR(INDEX('Usage Detail'!$G:$G,AGGREGATE(15,6,ROW('Usage Detail'!$A$5:$A$204)/(('Usage Detail'!$B$5:$B$204="Tasting")+('Usage Detail'!$B$5:$B$204="Promotional")),ROW(A19))),"")</f>
        <v/>
      </c>
      <c r="H27" s="4">
        <f>IFERROR(INDEX('Usage Detail'!$H:$H,AGGREGATE(15,6,ROW('Usage Detail'!$A$5:$A$204)/(('Usage Detail'!$B$5:$B$204="Tasting")+('Usage Detail'!$B$5:$B$204="Promotional")),ROW(A19))),"")</f>
        <v/>
      </c>
    </row>
    <row r="28">
      <c r="A28" s="3">
        <f>IFERROR(INDEX('Usage Detail'!$A:$A,AGGREGATE(15,6,ROW('Usage Detail'!$A$5:$A$204)/(('Usage Detail'!$B$5:$B$204="Tasting")+('Usage Detail'!$B$5:$B$204="Promotional")),ROW(A20))),"")</f>
        <v/>
      </c>
      <c r="B28" s="3">
        <f>IFERROR(INDEX('Usage Detail'!$B:$B,AGGREGATE(15,6,ROW('Usage Detail'!$A$5:$A$204)/(('Usage Detail'!$B$5:$B$204="Tasting")+('Usage Detail'!$B$5:$B$204="Promotional")),ROW(A20))),"")</f>
        <v/>
      </c>
      <c r="C28" s="3">
        <f>IFERROR(INDEX('Usage Detail'!$C:$C,AGGREGATE(15,6,ROW('Usage Detail'!$A$5:$A$204)/(('Usage Detail'!$B$5:$B$204="Tasting")+('Usage Detail'!$B$5:$B$204="Promotional")),ROW(A20))),"")</f>
        <v/>
      </c>
      <c r="D28" s="3">
        <f>IFERROR(INDEX('Usage Detail'!$D:$D,AGGREGATE(15,6,ROW('Usage Detail'!$A$5:$A$204)/(('Usage Detail'!$B$5:$B$204="Tasting")+('Usage Detail'!$B$5:$B$204="Promotional")),ROW(A20))),"")</f>
        <v/>
      </c>
      <c r="E28" s="4">
        <f>IFERROR(INDEX('Usage Detail'!$E:$E,AGGREGATE(15,6,ROW('Usage Detail'!$A$5:$A$204)/(('Usage Detail'!$B$5:$B$204="Tasting")+('Usage Detail'!$B$5:$B$204="Promotional")),ROW(A20))),"")</f>
        <v/>
      </c>
      <c r="F28" s="4">
        <f>IFERROR(INDEX('Usage Detail'!$F:$F,AGGREGATE(15,6,ROW('Usage Detail'!$A$5:$A$204)/(('Usage Detail'!$B$5:$B$204="Tasting")+('Usage Detail'!$B$5:$B$204="Promotional")),ROW(A20))),"")</f>
        <v/>
      </c>
      <c r="G28" s="4">
        <f>IFERROR(INDEX('Usage Detail'!$G:$G,AGGREGATE(15,6,ROW('Usage Detail'!$A$5:$A$204)/(('Usage Detail'!$B$5:$B$204="Tasting")+('Usage Detail'!$B$5:$B$204="Promotional")),ROW(A20))),"")</f>
        <v/>
      </c>
      <c r="H28" s="4">
        <f>IFERROR(INDEX('Usage Detail'!$H:$H,AGGREGATE(15,6,ROW('Usage Detail'!$A$5:$A$204)/(('Usage Detail'!$B$5:$B$204="Tasting")+('Usage Detail'!$B$5:$B$204="Promotional")),ROW(A20))),"")</f>
        <v/>
      </c>
    </row>
    <row r="29">
      <c r="A29" s="3">
        <f>IFERROR(INDEX('Usage Detail'!$A:$A,AGGREGATE(15,6,ROW('Usage Detail'!$A$5:$A$204)/(('Usage Detail'!$B$5:$B$204="Tasting")+('Usage Detail'!$B$5:$B$204="Promotional")),ROW(A21))),"")</f>
        <v/>
      </c>
      <c r="B29" s="3">
        <f>IFERROR(INDEX('Usage Detail'!$B:$B,AGGREGATE(15,6,ROW('Usage Detail'!$A$5:$A$204)/(('Usage Detail'!$B$5:$B$204="Tasting")+('Usage Detail'!$B$5:$B$204="Promotional")),ROW(A21))),"")</f>
        <v/>
      </c>
      <c r="C29" s="3">
        <f>IFERROR(INDEX('Usage Detail'!$C:$C,AGGREGATE(15,6,ROW('Usage Detail'!$A$5:$A$204)/(('Usage Detail'!$B$5:$B$204="Tasting")+('Usage Detail'!$B$5:$B$204="Promotional")),ROW(A21))),"")</f>
        <v/>
      </c>
      <c r="D29" s="3">
        <f>IFERROR(INDEX('Usage Detail'!$D:$D,AGGREGATE(15,6,ROW('Usage Detail'!$A$5:$A$204)/(('Usage Detail'!$B$5:$B$204="Tasting")+('Usage Detail'!$B$5:$B$204="Promotional")),ROW(A21))),"")</f>
        <v/>
      </c>
      <c r="E29" s="4">
        <f>IFERROR(INDEX('Usage Detail'!$E:$E,AGGREGATE(15,6,ROW('Usage Detail'!$A$5:$A$204)/(('Usage Detail'!$B$5:$B$204="Tasting")+('Usage Detail'!$B$5:$B$204="Promotional")),ROW(A21))),"")</f>
        <v/>
      </c>
      <c r="F29" s="4">
        <f>IFERROR(INDEX('Usage Detail'!$F:$F,AGGREGATE(15,6,ROW('Usage Detail'!$A$5:$A$204)/(('Usage Detail'!$B$5:$B$204="Tasting")+('Usage Detail'!$B$5:$B$204="Promotional")),ROW(A21))),"")</f>
        <v/>
      </c>
      <c r="G29" s="4">
        <f>IFERROR(INDEX('Usage Detail'!$G:$G,AGGREGATE(15,6,ROW('Usage Detail'!$A$5:$A$204)/(('Usage Detail'!$B$5:$B$204="Tasting")+('Usage Detail'!$B$5:$B$204="Promotional")),ROW(A21))),"")</f>
        <v/>
      </c>
      <c r="H29" s="4">
        <f>IFERROR(INDEX('Usage Detail'!$H:$H,AGGREGATE(15,6,ROW('Usage Detail'!$A$5:$A$204)/(('Usage Detail'!$B$5:$B$204="Tasting")+('Usage Detail'!$B$5:$B$204="Promotional")),ROW(A21))),"")</f>
        <v/>
      </c>
    </row>
    <row r="30">
      <c r="A30" s="3">
        <f>IFERROR(INDEX('Usage Detail'!$A:$A,AGGREGATE(15,6,ROW('Usage Detail'!$A$5:$A$204)/(('Usage Detail'!$B$5:$B$204="Tasting")+('Usage Detail'!$B$5:$B$204="Promotional")),ROW(A22))),"")</f>
        <v/>
      </c>
      <c r="B30" s="3">
        <f>IFERROR(INDEX('Usage Detail'!$B:$B,AGGREGATE(15,6,ROW('Usage Detail'!$A$5:$A$204)/(('Usage Detail'!$B$5:$B$204="Tasting")+('Usage Detail'!$B$5:$B$204="Promotional")),ROW(A22))),"")</f>
        <v/>
      </c>
      <c r="C30" s="3">
        <f>IFERROR(INDEX('Usage Detail'!$C:$C,AGGREGATE(15,6,ROW('Usage Detail'!$A$5:$A$204)/(('Usage Detail'!$B$5:$B$204="Tasting")+('Usage Detail'!$B$5:$B$204="Promotional")),ROW(A22))),"")</f>
        <v/>
      </c>
      <c r="D30" s="3">
        <f>IFERROR(INDEX('Usage Detail'!$D:$D,AGGREGATE(15,6,ROW('Usage Detail'!$A$5:$A$204)/(('Usage Detail'!$B$5:$B$204="Tasting")+('Usage Detail'!$B$5:$B$204="Promotional")),ROW(A22))),"")</f>
        <v/>
      </c>
      <c r="E30" s="4">
        <f>IFERROR(INDEX('Usage Detail'!$E:$E,AGGREGATE(15,6,ROW('Usage Detail'!$A$5:$A$204)/(('Usage Detail'!$B$5:$B$204="Tasting")+('Usage Detail'!$B$5:$B$204="Promotional")),ROW(A22))),"")</f>
        <v/>
      </c>
      <c r="F30" s="4">
        <f>IFERROR(INDEX('Usage Detail'!$F:$F,AGGREGATE(15,6,ROW('Usage Detail'!$A$5:$A$204)/(('Usage Detail'!$B$5:$B$204="Tasting")+('Usage Detail'!$B$5:$B$204="Promotional")),ROW(A22))),"")</f>
        <v/>
      </c>
      <c r="G30" s="4">
        <f>IFERROR(INDEX('Usage Detail'!$G:$G,AGGREGATE(15,6,ROW('Usage Detail'!$A$5:$A$204)/(('Usage Detail'!$B$5:$B$204="Tasting")+('Usage Detail'!$B$5:$B$204="Promotional")),ROW(A22))),"")</f>
        <v/>
      </c>
      <c r="H30" s="4">
        <f>IFERROR(INDEX('Usage Detail'!$H:$H,AGGREGATE(15,6,ROW('Usage Detail'!$A$5:$A$204)/(('Usage Detail'!$B$5:$B$204="Tasting")+('Usage Detail'!$B$5:$B$204="Promotional")),ROW(A22))),"")</f>
        <v/>
      </c>
    </row>
    <row r="31">
      <c r="A31" s="3">
        <f>IFERROR(INDEX('Usage Detail'!$A:$A,AGGREGATE(15,6,ROW('Usage Detail'!$A$5:$A$204)/(('Usage Detail'!$B$5:$B$204="Tasting")+('Usage Detail'!$B$5:$B$204="Promotional")),ROW(A23))),"")</f>
        <v/>
      </c>
      <c r="B31" s="3">
        <f>IFERROR(INDEX('Usage Detail'!$B:$B,AGGREGATE(15,6,ROW('Usage Detail'!$A$5:$A$204)/(('Usage Detail'!$B$5:$B$204="Tasting")+('Usage Detail'!$B$5:$B$204="Promotional")),ROW(A23))),"")</f>
        <v/>
      </c>
      <c r="C31" s="3">
        <f>IFERROR(INDEX('Usage Detail'!$C:$C,AGGREGATE(15,6,ROW('Usage Detail'!$A$5:$A$204)/(('Usage Detail'!$B$5:$B$204="Tasting")+('Usage Detail'!$B$5:$B$204="Promotional")),ROW(A23))),"")</f>
        <v/>
      </c>
      <c r="D31" s="3">
        <f>IFERROR(INDEX('Usage Detail'!$D:$D,AGGREGATE(15,6,ROW('Usage Detail'!$A$5:$A$204)/(('Usage Detail'!$B$5:$B$204="Tasting")+('Usage Detail'!$B$5:$B$204="Promotional")),ROW(A23))),"")</f>
        <v/>
      </c>
      <c r="E31" s="4">
        <f>IFERROR(INDEX('Usage Detail'!$E:$E,AGGREGATE(15,6,ROW('Usage Detail'!$A$5:$A$204)/(('Usage Detail'!$B$5:$B$204="Tasting")+('Usage Detail'!$B$5:$B$204="Promotional")),ROW(A23))),"")</f>
        <v/>
      </c>
      <c r="F31" s="4">
        <f>IFERROR(INDEX('Usage Detail'!$F:$F,AGGREGATE(15,6,ROW('Usage Detail'!$A$5:$A$204)/(('Usage Detail'!$B$5:$B$204="Tasting")+('Usage Detail'!$B$5:$B$204="Promotional")),ROW(A23))),"")</f>
        <v/>
      </c>
      <c r="G31" s="4">
        <f>IFERROR(INDEX('Usage Detail'!$G:$G,AGGREGATE(15,6,ROW('Usage Detail'!$A$5:$A$204)/(('Usage Detail'!$B$5:$B$204="Tasting")+('Usage Detail'!$B$5:$B$204="Promotional")),ROW(A23))),"")</f>
        <v/>
      </c>
      <c r="H31" s="4">
        <f>IFERROR(INDEX('Usage Detail'!$H:$H,AGGREGATE(15,6,ROW('Usage Detail'!$A$5:$A$204)/(('Usage Detail'!$B$5:$B$204="Tasting")+('Usage Detail'!$B$5:$B$204="Promotional")),ROW(A23))),"")</f>
        <v/>
      </c>
    </row>
    <row r="32">
      <c r="A32" s="3">
        <f>IFERROR(INDEX('Usage Detail'!$A:$A,AGGREGATE(15,6,ROW('Usage Detail'!$A$5:$A$204)/(('Usage Detail'!$B$5:$B$204="Tasting")+('Usage Detail'!$B$5:$B$204="Promotional")),ROW(A24))),"")</f>
        <v/>
      </c>
      <c r="B32" s="3">
        <f>IFERROR(INDEX('Usage Detail'!$B:$B,AGGREGATE(15,6,ROW('Usage Detail'!$A$5:$A$204)/(('Usage Detail'!$B$5:$B$204="Tasting")+('Usage Detail'!$B$5:$B$204="Promotional")),ROW(A24))),"")</f>
        <v/>
      </c>
      <c r="C32" s="3">
        <f>IFERROR(INDEX('Usage Detail'!$C:$C,AGGREGATE(15,6,ROW('Usage Detail'!$A$5:$A$204)/(('Usage Detail'!$B$5:$B$204="Tasting")+('Usage Detail'!$B$5:$B$204="Promotional")),ROW(A24))),"")</f>
        <v/>
      </c>
      <c r="D32" s="3">
        <f>IFERROR(INDEX('Usage Detail'!$D:$D,AGGREGATE(15,6,ROW('Usage Detail'!$A$5:$A$204)/(('Usage Detail'!$B$5:$B$204="Tasting")+('Usage Detail'!$B$5:$B$204="Promotional")),ROW(A24))),"")</f>
        <v/>
      </c>
      <c r="E32" s="4">
        <f>IFERROR(INDEX('Usage Detail'!$E:$E,AGGREGATE(15,6,ROW('Usage Detail'!$A$5:$A$204)/(('Usage Detail'!$B$5:$B$204="Tasting")+('Usage Detail'!$B$5:$B$204="Promotional")),ROW(A24))),"")</f>
        <v/>
      </c>
      <c r="F32" s="4">
        <f>IFERROR(INDEX('Usage Detail'!$F:$F,AGGREGATE(15,6,ROW('Usage Detail'!$A$5:$A$204)/(('Usage Detail'!$B$5:$B$204="Tasting")+('Usage Detail'!$B$5:$B$204="Promotional")),ROW(A24))),"")</f>
        <v/>
      </c>
      <c r="G32" s="4">
        <f>IFERROR(INDEX('Usage Detail'!$G:$G,AGGREGATE(15,6,ROW('Usage Detail'!$A$5:$A$204)/(('Usage Detail'!$B$5:$B$204="Tasting")+('Usage Detail'!$B$5:$B$204="Promotional")),ROW(A24))),"")</f>
        <v/>
      </c>
      <c r="H32" s="4">
        <f>IFERROR(INDEX('Usage Detail'!$H:$H,AGGREGATE(15,6,ROW('Usage Detail'!$A$5:$A$204)/(('Usage Detail'!$B$5:$B$204="Tasting")+('Usage Detail'!$B$5:$B$204="Promotional")),ROW(A24))),"")</f>
        <v/>
      </c>
    </row>
    <row r="33">
      <c r="A33" s="3">
        <f>IFERROR(INDEX('Usage Detail'!$A:$A,AGGREGATE(15,6,ROW('Usage Detail'!$A$5:$A$204)/(('Usage Detail'!$B$5:$B$204="Tasting")+('Usage Detail'!$B$5:$B$204="Promotional")),ROW(A25))),"")</f>
        <v/>
      </c>
      <c r="B33" s="3">
        <f>IFERROR(INDEX('Usage Detail'!$B:$B,AGGREGATE(15,6,ROW('Usage Detail'!$A$5:$A$204)/(('Usage Detail'!$B$5:$B$204="Tasting")+('Usage Detail'!$B$5:$B$204="Promotional")),ROW(A25))),"")</f>
        <v/>
      </c>
      <c r="C33" s="3">
        <f>IFERROR(INDEX('Usage Detail'!$C:$C,AGGREGATE(15,6,ROW('Usage Detail'!$A$5:$A$204)/(('Usage Detail'!$B$5:$B$204="Tasting")+('Usage Detail'!$B$5:$B$204="Promotional")),ROW(A25))),"")</f>
        <v/>
      </c>
      <c r="D33" s="3">
        <f>IFERROR(INDEX('Usage Detail'!$D:$D,AGGREGATE(15,6,ROW('Usage Detail'!$A$5:$A$204)/(('Usage Detail'!$B$5:$B$204="Tasting")+('Usage Detail'!$B$5:$B$204="Promotional")),ROW(A25))),"")</f>
        <v/>
      </c>
      <c r="E33" s="4">
        <f>IFERROR(INDEX('Usage Detail'!$E:$E,AGGREGATE(15,6,ROW('Usage Detail'!$A$5:$A$204)/(('Usage Detail'!$B$5:$B$204="Tasting")+('Usage Detail'!$B$5:$B$204="Promotional")),ROW(A25))),"")</f>
        <v/>
      </c>
      <c r="F33" s="4">
        <f>IFERROR(INDEX('Usage Detail'!$F:$F,AGGREGATE(15,6,ROW('Usage Detail'!$A$5:$A$204)/(('Usage Detail'!$B$5:$B$204="Tasting")+('Usage Detail'!$B$5:$B$204="Promotional")),ROW(A25))),"")</f>
        <v/>
      </c>
      <c r="G33" s="4">
        <f>IFERROR(INDEX('Usage Detail'!$G:$G,AGGREGATE(15,6,ROW('Usage Detail'!$A$5:$A$204)/(('Usage Detail'!$B$5:$B$204="Tasting")+('Usage Detail'!$B$5:$B$204="Promotional")),ROW(A25))),"")</f>
        <v/>
      </c>
      <c r="H33" s="4">
        <f>IFERROR(INDEX('Usage Detail'!$H:$H,AGGREGATE(15,6,ROW('Usage Detail'!$A$5:$A$204)/(('Usage Detail'!$B$5:$B$204="Tasting")+('Usage Detail'!$B$5:$B$204="Promotional")),ROW(A25))),"")</f>
        <v/>
      </c>
    </row>
    <row r="34">
      <c r="A34" s="3">
        <f>IFERROR(INDEX('Usage Detail'!$A:$A,AGGREGATE(15,6,ROW('Usage Detail'!$A$5:$A$204)/(('Usage Detail'!$B$5:$B$204="Tasting")+('Usage Detail'!$B$5:$B$204="Promotional")),ROW(A26))),"")</f>
        <v/>
      </c>
      <c r="B34" s="3">
        <f>IFERROR(INDEX('Usage Detail'!$B:$B,AGGREGATE(15,6,ROW('Usage Detail'!$A$5:$A$204)/(('Usage Detail'!$B$5:$B$204="Tasting")+('Usage Detail'!$B$5:$B$204="Promotional")),ROW(A26))),"")</f>
        <v/>
      </c>
      <c r="C34" s="3">
        <f>IFERROR(INDEX('Usage Detail'!$C:$C,AGGREGATE(15,6,ROW('Usage Detail'!$A$5:$A$204)/(('Usage Detail'!$B$5:$B$204="Tasting")+('Usage Detail'!$B$5:$B$204="Promotional")),ROW(A26))),"")</f>
        <v/>
      </c>
      <c r="D34" s="3">
        <f>IFERROR(INDEX('Usage Detail'!$D:$D,AGGREGATE(15,6,ROW('Usage Detail'!$A$5:$A$204)/(('Usage Detail'!$B$5:$B$204="Tasting")+('Usage Detail'!$B$5:$B$204="Promotional")),ROW(A26))),"")</f>
        <v/>
      </c>
      <c r="E34" s="4">
        <f>IFERROR(INDEX('Usage Detail'!$E:$E,AGGREGATE(15,6,ROW('Usage Detail'!$A$5:$A$204)/(('Usage Detail'!$B$5:$B$204="Tasting")+('Usage Detail'!$B$5:$B$204="Promotional")),ROW(A26))),"")</f>
        <v/>
      </c>
      <c r="F34" s="4">
        <f>IFERROR(INDEX('Usage Detail'!$F:$F,AGGREGATE(15,6,ROW('Usage Detail'!$A$5:$A$204)/(('Usage Detail'!$B$5:$B$204="Tasting")+('Usage Detail'!$B$5:$B$204="Promotional")),ROW(A26))),"")</f>
        <v/>
      </c>
      <c r="G34" s="4">
        <f>IFERROR(INDEX('Usage Detail'!$G:$G,AGGREGATE(15,6,ROW('Usage Detail'!$A$5:$A$204)/(('Usage Detail'!$B$5:$B$204="Tasting")+('Usage Detail'!$B$5:$B$204="Promotional")),ROW(A26))),"")</f>
        <v/>
      </c>
      <c r="H34" s="4">
        <f>IFERROR(INDEX('Usage Detail'!$H:$H,AGGREGATE(15,6,ROW('Usage Detail'!$A$5:$A$204)/(('Usage Detail'!$B$5:$B$204="Tasting")+('Usage Detail'!$B$5:$B$204="Promotional")),ROW(A26))),"")</f>
        <v/>
      </c>
    </row>
    <row r="35">
      <c r="A35" s="3">
        <f>IFERROR(INDEX('Usage Detail'!$A:$A,AGGREGATE(15,6,ROW('Usage Detail'!$A$5:$A$204)/(('Usage Detail'!$B$5:$B$204="Tasting")+('Usage Detail'!$B$5:$B$204="Promotional")),ROW(A27))),"")</f>
        <v/>
      </c>
      <c r="B35" s="3">
        <f>IFERROR(INDEX('Usage Detail'!$B:$B,AGGREGATE(15,6,ROW('Usage Detail'!$A$5:$A$204)/(('Usage Detail'!$B$5:$B$204="Tasting")+('Usage Detail'!$B$5:$B$204="Promotional")),ROW(A27))),"")</f>
        <v/>
      </c>
      <c r="C35" s="3">
        <f>IFERROR(INDEX('Usage Detail'!$C:$C,AGGREGATE(15,6,ROW('Usage Detail'!$A$5:$A$204)/(('Usage Detail'!$B$5:$B$204="Tasting")+('Usage Detail'!$B$5:$B$204="Promotional")),ROW(A27))),"")</f>
        <v/>
      </c>
      <c r="D35" s="3">
        <f>IFERROR(INDEX('Usage Detail'!$D:$D,AGGREGATE(15,6,ROW('Usage Detail'!$A$5:$A$204)/(('Usage Detail'!$B$5:$B$204="Tasting")+('Usage Detail'!$B$5:$B$204="Promotional")),ROW(A27))),"")</f>
        <v/>
      </c>
      <c r="E35" s="4">
        <f>IFERROR(INDEX('Usage Detail'!$E:$E,AGGREGATE(15,6,ROW('Usage Detail'!$A$5:$A$204)/(('Usage Detail'!$B$5:$B$204="Tasting")+('Usage Detail'!$B$5:$B$204="Promotional")),ROW(A27))),"")</f>
        <v/>
      </c>
      <c r="F35" s="4">
        <f>IFERROR(INDEX('Usage Detail'!$F:$F,AGGREGATE(15,6,ROW('Usage Detail'!$A$5:$A$204)/(('Usage Detail'!$B$5:$B$204="Tasting")+('Usage Detail'!$B$5:$B$204="Promotional")),ROW(A27))),"")</f>
        <v/>
      </c>
      <c r="G35" s="4">
        <f>IFERROR(INDEX('Usage Detail'!$G:$G,AGGREGATE(15,6,ROW('Usage Detail'!$A$5:$A$204)/(('Usage Detail'!$B$5:$B$204="Tasting")+('Usage Detail'!$B$5:$B$204="Promotional")),ROW(A27))),"")</f>
        <v/>
      </c>
      <c r="H35" s="4">
        <f>IFERROR(INDEX('Usage Detail'!$H:$H,AGGREGATE(15,6,ROW('Usage Detail'!$A$5:$A$204)/(('Usage Detail'!$B$5:$B$204="Tasting")+('Usage Detail'!$B$5:$B$204="Promotional")),ROW(A27))),"")</f>
        <v/>
      </c>
    </row>
    <row r="36">
      <c r="A36" s="3">
        <f>IFERROR(INDEX('Usage Detail'!$A:$A,AGGREGATE(15,6,ROW('Usage Detail'!$A$5:$A$204)/(('Usage Detail'!$B$5:$B$204="Tasting")+('Usage Detail'!$B$5:$B$204="Promotional")),ROW(A28))),"")</f>
        <v/>
      </c>
      <c r="B36" s="3">
        <f>IFERROR(INDEX('Usage Detail'!$B:$B,AGGREGATE(15,6,ROW('Usage Detail'!$A$5:$A$204)/(('Usage Detail'!$B$5:$B$204="Tasting")+('Usage Detail'!$B$5:$B$204="Promotional")),ROW(A28))),"")</f>
        <v/>
      </c>
      <c r="C36" s="3">
        <f>IFERROR(INDEX('Usage Detail'!$C:$C,AGGREGATE(15,6,ROW('Usage Detail'!$A$5:$A$204)/(('Usage Detail'!$B$5:$B$204="Tasting")+('Usage Detail'!$B$5:$B$204="Promotional")),ROW(A28))),"")</f>
        <v/>
      </c>
      <c r="D36" s="3">
        <f>IFERROR(INDEX('Usage Detail'!$D:$D,AGGREGATE(15,6,ROW('Usage Detail'!$A$5:$A$204)/(('Usage Detail'!$B$5:$B$204="Tasting")+('Usage Detail'!$B$5:$B$204="Promotional")),ROW(A28))),"")</f>
        <v/>
      </c>
      <c r="E36" s="4">
        <f>IFERROR(INDEX('Usage Detail'!$E:$E,AGGREGATE(15,6,ROW('Usage Detail'!$A$5:$A$204)/(('Usage Detail'!$B$5:$B$204="Tasting")+('Usage Detail'!$B$5:$B$204="Promotional")),ROW(A28))),"")</f>
        <v/>
      </c>
      <c r="F36" s="4">
        <f>IFERROR(INDEX('Usage Detail'!$F:$F,AGGREGATE(15,6,ROW('Usage Detail'!$A$5:$A$204)/(('Usage Detail'!$B$5:$B$204="Tasting")+('Usage Detail'!$B$5:$B$204="Promotional")),ROW(A28))),"")</f>
        <v/>
      </c>
      <c r="G36" s="4">
        <f>IFERROR(INDEX('Usage Detail'!$G:$G,AGGREGATE(15,6,ROW('Usage Detail'!$A$5:$A$204)/(('Usage Detail'!$B$5:$B$204="Tasting")+('Usage Detail'!$B$5:$B$204="Promotional")),ROW(A28))),"")</f>
        <v/>
      </c>
      <c r="H36" s="4">
        <f>IFERROR(INDEX('Usage Detail'!$H:$H,AGGREGATE(15,6,ROW('Usage Detail'!$A$5:$A$204)/(('Usage Detail'!$B$5:$B$204="Tasting")+('Usage Detail'!$B$5:$B$204="Promotional")),ROW(A28))),"")</f>
        <v/>
      </c>
    </row>
    <row r="37">
      <c r="A37" s="3">
        <f>IFERROR(INDEX('Usage Detail'!$A:$A,AGGREGATE(15,6,ROW('Usage Detail'!$A$5:$A$204)/(('Usage Detail'!$B$5:$B$204="Tasting")+('Usage Detail'!$B$5:$B$204="Promotional")),ROW(A29))),"")</f>
        <v/>
      </c>
      <c r="B37" s="3">
        <f>IFERROR(INDEX('Usage Detail'!$B:$B,AGGREGATE(15,6,ROW('Usage Detail'!$A$5:$A$204)/(('Usage Detail'!$B$5:$B$204="Tasting")+('Usage Detail'!$B$5:$B$204="Promotional")),ROW(A29))),"")</f>
        <v/>
      </c>
      <c r="C37" s="3">
        <f>IFERROR(INDEX('Usage Detail'!$C:$C,AGGREGATE(15,6,ROW('Usage Detail'!$A$5:$A$204)/(('Usage Detail'!$B$5:$B$204="Tasting")+('Usage Detail'!$B$5:$B$204="Promotional")),ROW(A29))),"")</f>
        <v/>
      </c>
      <c r="D37" s="3">
        <f>IFERROR(INDEX('Usage Detail'!$D:$D,AGGREGATE(15,6,ROW('Usage Detail'!$A$5:$A$204)/(('Usage Detail'!$B$5:$B$204="Tasting")+('Usage Detail'!$B$5:$B$204="Promotional")),ROW(A29))),"")</f>
        <v/>
      </c>
      <c r="E37" s="4">
        <f>IFERROR(INDEX('Usage Detail'!$E:$E,AGGREGATE(15,6,ROW('Usage Detail'!$A$5:$A$204)/(('Usage Detail'!$B$5:$B$204="Tasting")+('Usage Detail'!$B$5:$B$204="Promotional")),ROW(A29))),"")</f>
        <v/>
      </c>
      <c r="F37" s="4">
        <f>IFERROR(INDEX('Usage Detail'!$F:$F,AGGREGATE(15,6,ROW('Usage Detail'!$A$5:$A$204)/(('Usage Detail'!$B$5:$B$204="Tasting")+('Usage Detail'!$B$5:$B$204="Promotional")),ROW(A29))),"")</f>
        <v/>
      </c>
      <c r="G37" s="4">
        <f>IFERROR(INDEX('Usage Detail'!$G:$G,AGGREGATE(15,6,ROW('Usage Detail'!$A$5:$A$204)/(('Usage Detail'!$B$5:$B$204="Tasting")+('Usage Detail'!$B$5:$B$204="Promotional")),ROW(A29))),"")</f>
        <v/>
      </c>
      <c r="H37" s="4">
        <f>IFERROR(INDEX('Usage Detail'!$H:$H,AGGREGATE(15,6,ROW('Usage Detail'!$A$5:$A$204)/(('Usage Detail'!$B$5:$B$204="Tasting")+('Usage Detail'!$B$5:$B$204="Promotional")),ROW(A29))),"")</f>
        <v/>
      </c>
    </row>
    <row r="38">
      <c r="A38" s="3">
        <f>IFERROR(INDEX('Usage Detail'!$A:$A,AGGREGATE(15,6,ROW('Usage Detail'!$A$5:$A$204)/(('Usage Detail'!$B$5:$B$204="Tasting")+('Usage Detail'!$B$5:$B$204="Promotional")),ROW(A30))),"")</f>
        <v/>
      </c>
      <c r="B38" s="3">
        <f>IFERROR(INDEX('Usage Detail'!$B:$B,AGGREGATE(15,6,ROW('Usage Detail'!$A$5:$A$204)/(('Usage Detail'!$B$5:$B$204="Tasting")+('Usage Detail'!$B$5:$B$204="Promotional")),ROW(A30))),"")</f>
        <v/>
      </c>
      <c r="C38" s="3">
        <f>IFERROR(INDEX('Usage Detail'!$C:$C,AGGREGATE(15,6,ROW('Usage Detail'!$A$5:$A$204)/(('Usage Detail'!$B$5:$B$204="Tasting")+('Usage Detail'!$B$5:$B$204="Promotional")),ROW(A30))),"")</f>
        <v/>
      </c>
      <c r="D38" s="3">
        <f>IFERROR(INDEX('Usage Detail'!$D:$D,AGGREGATE(15,6,ROW('Usage Detail'!$A$5:$A$204)/(('Usage Detail'!$B$5:$B$204="Tasting")+('Usage Detail'!$B$5:$B$204="Promotional")),ROW(A30))),"")</f>
        <v/>
      </c>
      <c r="E38" s="4">
        <f>IFERROR(INDEX('Usage Detail'!$E:$E,AGGREGATE(15,6,ROW('Usage Detail'!$A$5:$A$204)/(('Usage Detail'!$B$5:$B$204="Tasting")+('Usage Detail'!$B$5:$B$204="Promotional")),ROW(A30))),"")</f>
        <v/>
      </c>
      <c r="F38" s="4">
        <f>IFERROR(INDEX('Usage Detail'!$F:$F,AGGREGATE(15,6,ROW('Usage Detail'!$A$5:$A$204)/(('Usage Detail'!$B$5:$B$204="Tasting")+('Usage Detail'!$B$5:$B$204="Promotional")),ROW(A30))),"")</f>
        <v/>
      </c>
      <c r="G38" s="4">
        <f>IFERROR(INDEX('Usage Detail'!$G:$G,AGGREGATE(15,6,ROW('Usage Detail'!$A$5:$A$204)/(('Usage Detail'!$B$5:$B$204="Tasting")+('Usage Detail'!$B$5:$B$204="Promotional")),ROW(A30))),"")</f>
        <v/>
      </c>
      <c r="H38" s="4">
        <f>IFERROR(INDEX('Usage Detail'!$H:$H,AGGREGATE(15,6,ROW('Usage Detail'!$A$5:$A$204)/(('Usage Detail'!$B$5:$B$204="Tasting")+('Usage Detail'!$B$5:$B$204="Promotional")),ROW(A30))),"")</f>
        <v/>
      </c>
    </row>
    <row r="39">
      <c r="A39" s="3">
        <f>IFERROR(INDEX('Usage Detail'!$A:$A,AGGREGATE(15,6,ROW('Usage Detail'!$A$5:$A$204)/(('Usage Detail'!$B$5:$B$204="Tasting")+('Usage Detail'!$B$5:$B$204="Promotional")),ROW(A31))),"")</f>
        <v/>
      </c>
      <c r="B39" s="3">
        <f>IFERROR(INDEX('Usage Detail'!$B:$B,AGGREGATE(15,6,ROW('Usage Detail'!$A$5:$A$204)/(('Usage Detail'!$B$5:$B$204="Tasting")+('Usage Detail'!$B$5:$B$204="Promotional")),ROW(A31))),"")</f>
        <v/>
      </c>
      <c r="C39" s="3">
        <f>IFERROR(INDEX('Usage Detail'!$C:$C,AGGREGATE(15,6,ROW('Usage Detail'!$A$5:$A$204)/(('Usage Detail'!$B$5:$B$204="Tasting")+('Usage Detail'!$B$5:$B$204="Promotional")),ROW(A31))),"")</f>
        <v/>
      </c>
      <c r="D39" s="3">
        <f>IFERROR(INDEX('Usage Detail'!$D:$D,AGGREGATE(15,6,ROW('Usage Detail'!$A$5:$A$204)/(('Usage Detail'!$B$5:$B$204="Tasting")+('Usage Detail'!$B$5:$B$204="Promotional")),ROW(A31))),"")</f>
        <v/>
      </c>
      <c r="E39" s="4">
        <f>IFERROR(INDEX('Usage Detail'!$E:$E,AGGREGATE(15,6,ROW('Usage Detail'!$A$5:$A$204)/(('Usage Detail'!$B$5:$B$204="Tasting")+('Usage Detail'!$B$5:$B$204="Promotional")),ROW(A31))),"")</f>
        <v/>
      </c>
      <c r="F39" s="4">
        <f>IFERROR(INDEX('Usage Detail'!$F:$F,AGGREGATE(15,6,ROW('Usage Detail'!$A$5:$A$204)/(('Usage Detail'!$B$5:$B$204="Tasting")+('Usage Detail'!$B$5:$B$204="Promotional")),ROW(A31))),"")</f>
        <v/>
      </c>
      <c r="G39" s="4">
        <f>IFERROR(INDEX('Usage Detail'!$G:$G,AGGREGATE(15,6,ROW('Usage Detail'!$A$5:$A$204)/(('Usage Detail'!$B$5:$B$204="Tasting")+('Usage Detail'!$B$5:$B$204="Promotional")),ROW(A31))),"")</f>
        <v/>
      </c>
      <c r="H39" s="4">
        <f>IFERROR(INDEX('Usage Detail'!$H:$H,AGGREGATE(15,6,ROW('Usage Detail'!$A$5:$A$204)/(('Usage Detail'!$B$5:$B$204="Tasting")+('Usage Detail'!$B$5:$B$204="Promotional")),ROW(A31))),"")</f>
        <v/>
      </c>
    </row>
    <row r="40">
      <c r="A40" s="3">
        <f>IFERROR(INDEX('Usage Detail'!$A:$A,AGGREGATE(15,6,ROW('Usage Detail'!$A$5:$A$204)/(('Usage Detail'!$B$5:$B$204="Tasting")+('Usage Detail'!$B$5:$B$204="Promotional")),ROW(A32))),"")</f>
        <v/>
      </c>
      <c r="B40" s="3">
        <f>IFERROR(INDEX('Usage Detail'!$B:$B,AGGREGATE(15,6,ROW('Usage Detail'!$A$5:$A$204)/(('Usage Detail'!$B$5:$B$204="Tasting")+('Usage Detail'!$B$5:$B$204="Promotional")),ROW(A32))),"")</f>
        <v/>
      </c>
      <c r="C40" s="3">
        <f>IFERROR(INDEX('Usage Detail'!$C:$C,AGGREGATE(15,6,ROW('Usage Detail'!$A$5:$A$204)/(('Usage Detail'!$B$5:$B$204="Tasting")+('Usage Detail'!$B$5:$B$204="Promotional")),ROW(A32))),"")</f>
        <v/>
      </c>
      <c r="D40" s="3">
        <f>IFERROR(INDEX('Usage Detail'!$D:$D,AGGREGATE(15,6,ROW('Usage Detail'!$A$5:$A$204)/(('Usage Detail'!$B$5:$B$204="Tasting")+('Usage Detail'!$B$5:$B$204="Promotional")),ROW(A32))),"")</f>
        <v/>
      </c>
      <c r="E40" s="4">
        <f>IFERROR(INDEX('Usage Detail'!$E:$E,AGGREGATE(15,6,ROW('Usage Detail'!$A$5:$A$204)/(('Usage Detail'!$B$5:$B$204="Tasting")+('Usage Detail'!$B$5:$B$204="Promotional")),ROW(A32))),"")</f>
        <v/>
      </c>
      <c r="F40" s="4">
        <f>IFERROR(INDEX('Usage Detail'!$F:$F,AGGREGATE(15,6,ROW('Usage Detail'!$A$5:$A$204)/(('Usage Detail'!$B$5:$B$204="Tasting")+('Usage Detail'!$B$5:$B$204="Promotional")),ROW(A32))),"")</f>
        <v/>
      </c>
      <c r="G40" s="4">
        <f>IFERROR(INDEX('Usage Detail'!$G:$G,AGGREGATE(15,6,ROW('Usage Detail'!$A$5:$A$204)/(('Usage Detail'!$B$5:$B$204="Tasting")+('Usage Detail'!$B$5:$B$204="Promotional")),ROW(A32))),"")</f>
        <v/>
      </c>
      <c r="H40" s="4">
        <f>IFERROR(INDEX('Usage Detail'!$H:$H,AGGREGATE(15,6,ROW('Usage Detail'!$A$5:$A$204)/(('Usage Detail'!$B$5:$B$204="Tasting")+('Usage Detail'!$B$5:$B$204="Promotional")),ROW(A32))),"")</f>
        <v/>
      </c>
    </row>
    <row r="41">
      <c r="A41" s="3">
        <f>IFERROR(INDEX('Usage Detail'!$A:$A,AGGREGATE(15,6,ROW('Usage Detail'!$A$5:$A$204)/(('Usage Detail'!$B$5:$B$204="Tasting")+('Usage Detail'!$B$5:$B$204="Promotional")),ROW(A33))),"")</f>
        <v/>
      </c>
      <c r="B41" s="3">
        <f>IFERROR(INDEX('Usage Detail'!$B:$B,AGGREGATE(15,6,ROW('Usage Detail'!$A$5:$A$204)/(('Usage Detail'!$B$5:$B$204="Tasting")+('Usage Detail'!$B$5:$B$204="Promotional")),ROW(A33))),"")</f>
        <v/>
      </c>
      <c r="C41" s="3">
        <f>IFERROR(INDEX('Usage Detail'!$C:$C,AGGREGATE(15,6,ROW('Usage Detail'!$A$5:$A$204)/(('Usage Detail'!$B$5:$B$204="Tasting")+('Usage Detail'!$B$5:$B$204="Promotional")),ROW(A33))),"")</f>
        <v/>
      </c>
      <c r="D41" s="3">
        <f>IFERROR(INDEX('Usage Detail'!$D:$D,AGGREGATE(15,6,ROW('Usage Detail'!$A$5:$A$204)/(('Usage Detail'!$B$5:$B$204="Tasting")+('Usage Detail'!$B$5:$B$204="Promotional")),ROW(A33))),"")</f>
        <v/>
      </c>
      <c r="E41" s="4">
        <f>IFERROR(INDEX('Usage Detail'!$E:$E,AGGREGATE(15,6,ROW('Usage Detail'!$A$5:$A$204)/(('Usage Detail'!$B$5:$B$204="Tasting")+('Usage Detail'!$B$5:$B$204="Promotional")),ROW(A33))),"")</f>
        <v/>
      </c>
      <c r="F41" s="4">
        <f>IFERROR(INDEX('Usage Detail'!$F:$F,AGGREGATE(15,6,ROW('Usage Detail'!$A$5:$A$204)/(('Usage Detail'!$B$5:$B$204="Tasting")+('Usage Detail'!$B$5:$B$204="Promotional")),ROW(A33))),"")</f>
        <v/>
      </c>
      <c r="G41" s="4">
        <f>IFERROR(INDEX('Usage Detail'!$G:$G,AGGREGATE(15,6,ROW('Usage Detail'!$A$5:$A$204)/(('Usage Detail'!$B$5:$B$204="Tasting")+('Usage Detail'!$B$5:$B$204="Promotional")),ROW(A33))),"")</f>
        <v/>
      </c>
      <c r="H41" s="4">
        <f>IFERROR(INDEX('Usage Detail'!$H:$H,AGGREGATE(15,6,ROW('Usage Detail'!$A$5:$A$204)/(('Usage Detail'!$B$5:$B$204="Tasting")+('Usage Detail'!$B$5:$B$204="Promotional")),ROW(A33))),"")</f>
        <v/>
      </c>
    </row>
    <row r="42">
      <c r="A42" s="3">
        <f>IFERROR(INDEX('Usage Detail'!$A:$A,AGGREGATE(15,6,ROW('Usage Detail'!$A$5:$A$204)/(('Usage Detail'!$B$5:$B$204="Tasting")+('Usage Detail'!$B$5:$B$204="Promotional")),ROW(A34))),"")</f>
        <v/>
      </c>
      <c r="B42" s="3">
        <f>IFERROR(INDEX('Usage Detail'!$B:$B,AGGREGATE(15,6,ROW('Usage Detail'!$A$5:$A$204)/(('Usage Detail'!$B$5:$B$204="Tasting")+('Usage Detail'!$B$5:$B$204="Promotional")),ROW(A34))),"")</f>
        <v/>
      </c>
      <c r="C42" s="3">
        <f>IFERROR(INDEX('Usage Detail'!$C:$C,AGGREGATE(15,6,ROW('Usage Detail'!$A$5:$A$204)/(('Usage Detail'!$B$5:$B$204="Tasting")+('Usage Detail'!$B$5:$B$204="Promotional")),ROW(A34))),"")</f>
        <v/>
      </c>
      <c r="D42" s="3">
        <f>IFERROR(INDEX('Usage Detail'!$D:$D,AGGREGATE(15,6,ROW('Usage Detail'!$A$5:$A$204)/(('Usage Detail'!$B$5:$B$204="Tasting")+('Usage Detail'!$B$5:$B$204="Promotional")),ROW(A34))),"")</f>
        <v/>
      </c>
      <c r="E42" s="4">
        <f>IFERROR(INDEX('Usage Detail'!$E:$E,AGGREGATE(15,6,ROW('Usage Detail'!$A$5:$A$204)/(('Usage Detail'!$B$5:$B$204="Tasting")+('Usage Detail'!$B$5:$B$204="Promotional")),ROW(A34))),"")</f>
        <v/>
      </c>
      <c r="F42" s="4">
        <f>IFERROR(INDEX('Usage Detail'!$F:$F,AGGREGATE(15,6,ROW('Usage Detail'!$A$5:$A$204)/(('Usage Detail'!$B$5:$B$204="Tasting")+('Usage Detail'!$B$5:$B$204="Promotional")),ROW(A34))),"")</f>
        <v/>
      </c>
      <c r="G42" s="4">
        <f>IFERROR(INDEX('Usage Detail'!$G:$G,AGGREGATE(15,6,ROW('Usage Detail'!$A$5:$A$204)/(('Usage Detail'!$B$5:$B$204="Tasting")+('Usage Detail'!$B$5:$B$204="Promotional")),ROW(A34))),"")</f>
        <v/>
      </c>
      <c r="H42" s="4">
        <f>IFERROR(INDEX('Usage Detail'!$H:$H,AGGREGATE(15,6,ROW('Usage Detail'!$A$5:$A$204)/(('Usage Detail'!$B$5:$B$204="Tasting")+('Usage Detail'!$B$5:$B$204="Promotional")),ROW(A34))),"")</f>
        <v/>
      </c>
    </row>
    <row r="43">
      <c r="A43" s="3">
        <f>IFERROR(INDEX('Usage Detail'!$A:$A,AGGREGATE(15,6,ROW('Usage Detail'!$A$5:$A$204)/(('Usage Detail'!$B$5:$B$204="Tasting")+('Usage Detail'!$B$5:$B$204="Promotional")),ROW(A35))),"")</f>
        <v/>
      </c>
      <c r="B43" s="3">
        <f>IFERROR(INDEX('Usage Detail'!$B:$B,AGGREGATE(15,6,ROW('Usage Detail'!$A$5:$A$204)/(('Usage Detail'!$B$5:$B$204="Tasting")+('Usage Detail'!$B$5:$B$204="Promotional")),ROW(A35))),"")</f>
        <v/>
      </c>
      <c r="C43" s="3">
        <f>IFERROR(INDEX('Usage Detail'!$C:$C,AGGREGATE(15,6,ROW('Usage Detail'!$A$5:$A$204)/(('Usage Detail'!$B$5:$B$204="Tasting")+('Usage Detail'!$B$5:$B$204="Promotional")),ROW(A35))),"")</f>
        <v/>
      </c>
      <c r="D43" s="3">
        <f>IFERROR(INDEX('Usage Detail'!$D:$D,AGGREGATE(15,6,ROW('Usage Detail'!$A$5:$A$204)/(('Usage Detail'!$B$5:$B$204="Tasting")+('Usage Detail'!$B$5:$B$204="Promotional")),ROW(A35))),"")</f>
        <v/>
      </c>
      <c r="E43" s="4">
        <f>IFERROR(INDEX('Usage Detail'!$E:$E,AGGREGATE(15,6,ROW('Usage Detail'!$A$5:$A$204)/(('Usage Detail'!$B$5:$B$204="Tasting")+('Usage Detail'!$B$5:$B$204="Promotional")),ROW(A35))),"")</f>
        <v/>
      </c>
      <c r="F43" s="4">
        <f>IFERROR(INDEX('Usage Detail'!$F:$F,AGGREGATE(15,6,ROW('Usage Detail'!$A$5:$A$204)/(('Usage Detail'!$B$5:$B$204="Tasting")+('Usage Detail'!$B$5:$B$204="Promotional")),ROW(A35))),"")</f>
        <v/>
      </c>
      <c r="G43" s="4">
        <f>IFERROR(INDEX('Usage Detail'!$G:$G,AGGREGATE(15,6,ROW('Usage Detail'!$A$5:$A$204)/(('Usage Detail'!$B$5:$B$204="Tasting")+('Usage Detail'!$B$5:$B$204="Promotional")),ROW(A35))),"")</f>
        <v/>
      </c>
      <c r="H43" s="4">
        <f>IFERROR(INDEX('Usage Detail'!$H:$H,AGGREGATE(15,6,ROW('Usage Detail'!$A$5:$A$204)/(('Usage Detail'!$B$5:$B$204="Tasting")+('Usage Detail'!$B$5:$B$204="Promotional")),ROW(A35))),"")</f>
        <v/>
      </c>
    </row>
    <row r="44">
      <c r="A44" s="3">
        <f>IFERROR(INDEX('Usage Detail'!$A:$A,AGGREGATE(15,6,ROW('Usage Detail'!$A$5:$A$204)/(('Usage Detail'!$B$5:$B$204="Tasting")+('Usage Detail'!$B$5:$B$204="Promotional")),ROW(A36))),"")</f>
        <v/>
      </c>
      <c r="B44" s="3">
        <f>IFERROR(INDEX('Usage Detail'!$B:$B,AGGREGATE(15,6,ROW('Usage Detail'!$A$5:$A$204)/(('Usage Detail'!$B$5:$B$204="Tasting")+('Usage Detail'!$B$5:$B$204="Promotional")),ROW(A36))),"")</f>
        <v/>
      </c>
      <c r="C44" s="3">
        <f>IFERROR(INDEX('Usage Detail'!$C:$C,AGGREGATE(15,6,ROW('Usage Detail'!$A$5:$A$204)/(('Usage Detail'!$B$5:$B$204="Tasting")+('Usage Detail'!$B$5:$B$204="Promotional")),ROW(A36))),"")</f>
        <v/>
      </c>
      <c r="D44" s="3">
        <f>IFERROR(INDEX('Usage Detail'!$D:$D,AGGREGATE(15,6,ROW('Usage Detail'!$A$5:$A$204)/(('Usage Detail'!$B$5:$B$204="Tasting")+('Usage Detail'!$B$5:$B$204="Promotional")),ROW(A36))),"")</f>
        <v/>
      </c>
      <c r="E44" s="4">
        <f>IFERROR(INDEX('Usage Detail'!$E:$E,AGGREGATE(15,6,ROW('Usage Detail'!$A$5:$A$204)/(('Usage Detail'!$B$5:$B$204="Tasting")+('Usage Detail'!$B$5:$B$204="Promotional")),ROW(A36))),"")</f>
        <v/>
      </c>
      <c r="F44" s="4">
        <f>IFERROR(INDEX('Usage Detail'!$F:$F,AGGREGATE(15,6,ROW('Usage Detail'!$A$5:$A$204)/(('Usage Detail'!$B$5:$B$204="Tasting")+('Usage Detail'!$B$5:$B$204="Promotional")),ROW(A36))),"")</f>
        <v/>
      </c>
      <c r="G44" s="4">
        <f>IFERROR(INDEX('Usage Detail'!$G:$G,AGGREGATE(15,6,ROW('Usage Detail'!$A$5:$A$204)/(('Usage Detail'!$B$5:$B$204="Tasting")+('Usage Detail'!$B$5:$B$204="Promotional")),ROW(A36))),"")</f>
        <v/>
      </c>
      <c r="H44" s="4">
        <f>IFERROR(INDEX('Usage Detail'!$H:$H,AGGREGATE(15,6,ROW('Usage Detail'!$A$5:$A$204)/(('Usage Detail'!$B$5:$B$204="Tasting")+('Usage Detail'!$B$5:$B$204="Promotional")),ROW(A36))),"")</f>
        <v/>
      </c>
    </row>
    <row r="45">
      <c r="A45" s="3">
        <f>IFERROR(INDEX('Usage Detail'!$A:$A,AGGREGATE(15,6,ROW('Usage Detail'!$A$5:$A$204)/(('Usage Detail'!$B$5:$B$204="Tasting")+('Usage Detail'!$B$5:$B$204="Promotional")),ROW(A37))),"")</f>
        <v/>
      </c>
      <c r="B45" s="3">
        <f>IFERROR(INDEX('Usage Detail'!$B:$B,AGGREGATE(15,6,ROW('Usage Detail'!$A$5:$A$204)/(('Usage Detail'!$B$5:$B$204="Tasting")+('Usage Detail'!$B$5:$B$204="Promotional")),ROW(A37))),"")</f>
        <v/>
      </c>
      <c r="C45" s="3">
        <f>IFERROR(INDEX('Usage Detail'!$C:$C,AGGREGATE(15,6,ROW('Usage Detail'!$A$5:$A$204)/(('Usage Detail'!$B$5:$B$204="Tasting")+('Usage Detail'!$B$5:$B$204="Promotional")),ROW(A37))),"")</f>
        <v/>
      </c>
      <c r="D45" s="3">
        <f>IFERROR(INDEX('Usage Detail'!$D:$D,AGGREGATE(15,6,ROW('Usage Detail'!$A$5:$A$204)/(('Usage Detail'!$B$5:$B$204="Tasting")+('Usage Detail'!$B$5:$B$204="Promotional")),ROW(A37))),"")</f>
        <v/>
      </c>
      <c r="E45" s="4">
        <f>IFERROR(INDEX('Usage Detail'!$E:$E,AGGREGATE(15,6,ROW('Usage Detail'!$A$5:$A$204)/(('Usage Detail'!$B$5:$B$204="Tasting")+('Usage Detail'!$B$5:$B$204="Promotional")),ROW(A37))),"")</f>
        <v/>
      </c>
      <c r="F45" s="4">
        <f>IFERROR(INDEX('Usage Detail'!$F:$F,AGGREGATE(15,6,ROW('Usage Detail'!$A$5:$A$204)/(('Usage Detail'!$B$5:$B$204="Tasting")+('Usage Detail'!$B$5:$B$204="Promotional")),ROW(A37))),"")</f>
        <v/>
      </c>
      <c r="G45" s="4">
        <f>IFERROR(INDEX('Usage Detail'!$G:$G,AGGREGATE(15,6,ROW('Usage Detail'!$A$5:$A$204)/(('Usage Detail'!$B$5:$B$204="Tasting")+('Usage Detail'!$B$5:$B$204="Promotional")),ROW(A37))),"")</f>
        <v/>
      </c>
      <c r="H45" s="4">
        <f>IFERROR(INDEX('Usage Detail'!$H:$H,AGGREGATE(15,6,ROW('Usage Detail'!$A$5:$A$204)/(('Usage Detail'!$B$5:$B$204="Tasting")+('Usage Detail'!$B$5:$B$204="Promotional")),ROW(A37))),"")</f>
        <v/>
      </c>
    </row>
    <row r="46">
      <c r="A46" s="3">
        <f>IFERROR(INDEX('Usage Detail'!$A:$A,AGGREGATE(15,6,ROW('Usage Detail'!$A$5:$A$204)/(('Usage Detail'!$B$5:$B$204="Tasting")+('Usage Detail'!$B$5:$B$204="Promotional")),ROW(A38))),"")</f>
        <v/>
      </c>
      <c r="B46" s="3">
        <f>IFERROR(INDEX('Usage Detail'!$B:$B,AGGREGATE(15,6,ROW('Usage Detail'!$A$5:$A$204)/(('Usage Detail'!$B$5:$B$204="Tasting")+('Usage Detail'!$B$5:$B$204="Promotional")),ROW(A38))),"")</f>
        <v/>
      </c>
      <c r="C46" s="3">
        <f>IFERROR(INDEX('Usage Detail'!$C:$C,AGGREGATE(15,6,ROW('Usage Detail'!$A$5:$A$204)/(('Usage Detail'!$B$5:$B$204="Tasting")+('Usage Detail'!$B$5:$B$204="Promotional")),ROW(A38))),"")</f>
        <v/>
      </c>
      <c r="D46" s="3">
        <f>IFERROR(INDEX('Usage Detail'!$D:$D,AGGREGATE(15,6,ROW('Usage Detail'!$A$5:$A$204)/(('Usage Detail'!$B$5:$B$204="Tasting")+('Usage Detail'!$B$5:$B$204="Promotional")),ROW(A38))),"")</f>
        <v/>
      </c>
      <c r="E46" s="4">
        <f>IFERROR(INDEX('Usage Detail'!$E:$E,AGGREGATE(15,6,ROW('Usage Detail'!$A$5:$A$204)/(('Usage Detail'!$B$5:$B$204="Tasting")+('Usage Detail'!$B$5:$B$204="Promotional")),ROW(A38))),"")</f>
        <v/>
      </c>
      <c r="F46" s="4">
        <f>IFERROR(INDEX('Usage Detail'!$F:$F,AGGREGATE(15,6,ROW('Usage Detail'!$A$5:$A$204)/(('Usage Detail'!$B$5:$B$204="Tasting")+('Usage Detail'!$B$5:$B$204="Promotional")),ROW(A38))),"")</f>
        <v/>
      </c>
      <c r="G46" s="4">
        <f>IFERROR(INDEX('Usage Detail'!$G:$G,AGGREGATE(15,6,ROW('Usage Detail'!$A$5:$A$204)/(('Usage Detail'!$B$5:$B$204="Tasting")+('Usage Detail'!$B$5:$B$204="Promotional")),ROW(A38))),"")</f>
        <v/>
      </c>
      <c r="H46" s="4">
        <f>IFERROR(INDEX('Usage Detail'!$H:$H,AGGREGATE(15,6,ROW('Usage Detail'!$A$5:$A$204)/(('Usage Detail'!$B$5:$B$204="Tasting")+('Usage Detail'!$B$5:$B$204="Promotional")),ROW(A38))),"")</f>
        <v/>
      </c>
    </row>
    <row r="47">
      <c r="A47" s="3">
        <f>IFERROR(INDEX('Usage Detail'!$A:$A,AGGREGATE(15,6,ROW('Usage Detail'!$A$5:$A$204)/(('Usage Detail'!$B$5:$B$204="Tasting")+('Usage Detail'!$B$5:$B$204="Promotional")),ROW(A39))),"")</f>
        <v/>
      </c>
      <c r="B47" s="3">
        <f>IFERROR(INDEX('Usage Detail'!$B:$B,AGGREGATE(15,6,ROW('Usage Detail'!$A$5:$A$204)/(('Usage Detail'!$B$5:$B$204="Tasting")+('Usage Detail'!$B$5:$B$204="Promotional")),ROW(A39))),"")</f>
        <v/>
      </c>
      <c r="C47" s="3">
        <f>IFERROR(INDEX('Usage Detail'!$C:$C,AGGREGATE(15,6,ROW('Usage Detail'!$A$5:$A$204)/(('Usage Detail'!$B$5:$B$204="Tasting")+('Usage Detail'!$B$5:$B$204="Promotional")),ROW(A39))),"")</f>
        <v/>
      </c>
      <c r="D47" s="3">
        <f>IFERROR(INDEX('Usage Detail'!$D:$D,AGGREGATE(15,6,ROW('Usage Detail'!$A$5:$A$204)/(('Usage Detail'!$B$5:$B$204="Tasting")+('Usage Detail'!$B$5:$B$204="Promotional")),ROW(A39))),"")</f>
        <v/>
      </c>
      <c r="E47" s="4">
        <f>IFERROR(INDEX('Usage Detail'!$E:$E,AGGREGATE(15,6,ROW('Usage Detail'!$A$5:$A$204)/(('Usage Detail'!$B$5:$B$204="Tasting")+('Usage Detail'!$B$5:$B$204="Promotional")),ROW(A39))),"")</f>
        <v/>
      </c>
      <c r="F47" s="4">
        <f>IFERROR(INDEX('Usage Detail'!$F:$F,AGGREGATE(15,6,ROW('Usage Detail'!$A$5:$A$204)/(('Usage Detail'!$B$5:$B$204="Tasting")+('Usage Detail'!$B$5:$B$204="Promotional")),ROW(A39))),"")</f>
        <v/>
      </c>
      <c r="G47" s="4">
        <f>IFERROR(INDEX('Usage Detail'!$G:$G,AGGREGATE(15,6,ROW('Usage Detail'!$A$5:$A$204)/(('Usage Detail'!$B$5:$B$204="Tasting")+('Usage Detail'!$B$5:$B$204="Promotional")),ROW(A39))),"")</f>
        <v/>
      </c>
      <c r="H47" s="4">
        <f>IFERROR(INDEX('Usage Detail'!$H:$H,AGGREGATE(15,6,ROW('Usage Detail'!$A$5:$A$204)/(('Usage Detail'!$B$5:$B$204="Tasting")+('Usage Detail'!$B$5:$B$204="Promotional")),ROW(A39))),"")</f>
        <v/>
      </c>
    </row>
    <row r="48">
      <c r="A48" s="3">
        <f>IFERROR(INDEX('Usage Detail'!$A:$A,AGGREGATE(15,6,ROW('Usage Detail'!$A$5:$A$204)/(('Usage Detail'!$B$5:$B$204="Tasting")+('Usage Detail'!$B$5:$B$204="Promotional")),ROW(A40))),"")</f>
        <v/>
      </c>
      <c r="B48" s="3">
        <f>IFERROR(INDEX('Usage Detail'!$B:$B,AGGREGATE(15,6,ROW('Usage Detail'!$A$5:$A$204)/(('Usage Detail'!$B$5:$B$204="Tasting")+('Usage Detail'!$B$5:$B$204="Promotional")),ROW(A40))),"")</f>
        <v/>
      </c>
      <c r="C48" s="3">
        <f>IFERROR(INDEX('Usage Detail'!$C:$C,AGGREGATE(15,6,ROW('Usage Detail'!$A$5:$A$204)/(('Usage Detail'!$B$5:$B$204="Tasting")+('Usage Detail'!$B$5:$B$204="Promotional")),ROW(A40))),"")</f>
        <v/>
      </c>
      <c r="D48" s="3">
        <f>IFERROR(INDEX('Usage Detail'!$D:$D,AGGREGATE(15,6,ROW('Usage Detail'!$A$5:$A$204)/(('Usage Detail'!$B$5:$B$204="Tasting")+('Usage Detail'!$B$5:$B$204="Promotional")),ROW(A40))),"")</f>
        <v/>
      </c>
      <c r="E48" s="4">
        <f>IFERROR(INDEX('Usage Detail'!$E:$E,AGGREGATE(15,6,ROW('Usage Detail'!$A$5:$A$204)/(('Usage Detail'!$B$5:$B$204="Tasting")+('Usage Detail'!$B$5:$B$204="Promotional")),ROW(A40))),"")</f>
        <v/>
      </c>
      <c r="F48" s="4">
        <f>IFERROR(INDEX('Usage Detail'!$F:$F,AGGREGATE(15,6,ROW('Usage Detail'!$A$5:$A$204)/(('Usage Detail'!$B$5:$B$204="Tasting")+('Usage Detail'!$B$5:$B$204="Promotional")),ROW(A40))),"")</f>
        <v/>
      </c>
      <c r="G48" s="4">
        <f>IFERROR(INDEX('Usage Detail'!$G:$G,AGGREGATE(15,6,ROW('Usage Detail'!$A$5:$A$204)/(('Usage Detail'!$B$5:$B$204="Tasting")+('Usage Detail'!$B$5:$B$204="Promotional")),ROW(A40))),"")</f>
        <v/>
      </c>
      <c r="H48" s="4">
        <f>IFERROR(INDEX('Usage Detail'!$H:$H,AGGREGATE(15,6,ROW('Usage Detail'!$A$5:$A$204)/(('Usage Detail'!$B$5:$B$204="Tasting")+('Usage Detail'!$B$5:$B$204="Promotional")),ROW(A40))),"")</f>
        <v/>
      </c>
    </row>
    <row r="49">
      <c r="A49" s="3">
        <f>IFERROR(INDEX('Usage Detail'!$A:$A,AGGREGATE(15,6,ROW('Usage Detail'!$A$5:$A$204)/(('Usage Detail'!$B$5:$B$204="Tasting")+('Usage Detail'!$B$5:$B$204="Promotional")),ROW(A41))),"")</f>
        <v/>
      </c>
      <c r="B49" s="3">
        <f>IFERROR(INDEX('Usage Detail'!$B:$B,AGGREGATE(15,6,ROW('Usage Detail'!$A$5:$A$204)/(('Usage Detail'!$B$5:$B$204="Tasting")+('Usage Detail'!$B$5:$B$204="Promotional")),ROW(A41))),"")</f>
        <v/>
      </c>
      <c r="C49" s="3">
        <f>IFERROR(INDEX('Usage Detail'!$C:$C,AGGREGATE(15,6,ROW('Usage Detail'!$A$5:$A$204)/(('Usage Detail'!$B$5:$B$204="Tasting")+('Usage Detail'!$B$5:$B$204="Promotional")),ROW(A41))),"")</f>
        <v/>
      </c>
      <c r="D49" s="3">
        <f>IFERROR(INDEX('Usage Detail'!$D:$D,AGGREGATE(15,6,ROW('Usage Detail'!$A$5:$A$204)/(('Usage Detail'!$B$5:$B$204="Tasting")+('Usage Detail'!$B$5:$B$204="Promotional")),ROW(A41))),"")</f>
        <v/>
      </c>
      <c r="E49" s="4">
        <f>IFERROR(INDEX('Usage Detail'!$E:$E,AGGREGATE(15,6,ROW('Usage Detail'!$A$5:$A$204)/(('Usage Detail'!$B$5:$B$204="Tasting")+('Usage Detail'!$B$5:$B$204="Promotional")),ROW(A41))),"")</f>
        <v/>
      </c>
      <c r="F49" s="4">
        <f>IFERROR(INDEX('Usage Detail'!$F:$F,AGGREGATE(15,6,ROW('Usage Detail'!$A$5:$A$204)/(('Usage Detail'!$B$5:$B$204="Tasting")+('Usage Detail'!$B$5:$B$204="Promotional")),ROW(A41))),"")</f>
        <v/>
      </c>
      <c r="G49" s="4">
        <f>IFERROR(INDEX('Usage Detail'!$G:$G,AGGREGATE(15,6,ROW('Usage Detail'!$A$5:$A$204)/(('Usage Detail'!$B$5:$B$204="Tasting")+('Usage Detail'!$B$5:$B$204="Promotional")),ROW(A41))),"")</f>
        <v/>
      </c>
      <c r="H49" s="4">
        <f>IFERROR(INDEX('Usage Detail'!$H:$H,AGGREGATE(15,6,ROW('Usage Detail'!$A$5:$A$204)/(('Usage Detail'!$B$5:$B$204="Tasting")+('Usage Detail'!$B$5:$B$204="Promotional")),ROW(A41))),"")</f>
        <v/>
      </c>
    </row>
    <row r="50">
      <c r="A50" s="3">
        <f>IFERROR(INDEX('Usage Detail'!$A:$A,AGGREGATE(15,6,ROW('Usage Detail'!$A$5:$A$204)/(('Usage Detail'!$B$5:$B$204="Tasting")+('Usage Detail'!$B$5:$B$204="Promotional")),ROW(A42))),"")</f>
        <v/>
      </c>
      <c r="B50" s="3">
        <f>IFERROR(INDEX('Usage Detail'!$B:$B,AGGREGATE(15,6,ROW('Usage Detail'!$A$5:$A$204)/(('Usage Detail'!$B$5:$B$204="Tasting")+('Usage Detail'!$B$5:$B$204="Promotional")),ROW(A42))),"")</f>
        <v/>
      </c>
      <c r="C50" s="3">
        <f>IFERROR(INDEX('Usage Detail'!$C:$C,AGGREGATE(15,6,ROW('Usage Detail'!$A$5:$A$204)/(('Usage Detail'!$B$5:$B$204="Tasting")+('Usage Detail'!$B$5:$B$204="Promotional")),ROW(A42))),"")</f>
        <v/>
      </c>
      <c r="D50" s="3">
        <f>IFERROR(INDEX('Usage Detail'!$D:$D,AGGREGATE(15,6,ROW('Usage Detail'!$A$5:$A$204)/(('Usage Detail'!$B$5:$B$204="Tasting")+('Usage Detail'!$B$5:$B$204="Promotional")),ROW(A42))),"")</f>
        <v/>
      </c>
      <c r="E50" s="4">
        <f>IFERROR(INDEX('Usage Detail'!$E:$E,AGGREGATE(15,6,ROW('Usage Detail'!$A$5:$A$204)/(('Usage Detail'!$B$5:$B$204="Tasting")+('Usage Detail'!$B$5:$B$204="Promotional")),ROW(A42))),"")</f>
        <v/>
      </c>
      <c r="F50" s="4">
        <f>IFERROR(INDEX('Usage Detail'!$F:$F,AGGREGATE(15,6,ROW('Usage Detail'!$A$5:$A$204)/(('Usage Detail'!$B$5:$B$204="Tasting")+('Usage Detail'!$B$5:$B$204="Promotional")),ROW(A42))),"")</f>
        <v/>
      </c>
      <c r="G50" s="4">
        <f>IFERROR(INDEX('Usage Detail'!$G:$G,AGGREGATE(15,6,ROW('Usage Detail'!$A$5:$A$204)/(('Usage Detail'!$B$5:$B$204="Tasting")+('Usage Detail'!$B$5:$B$204="Promotional")),ROW(A42))),"")</f>
        <v/>
      </c>
      <c r="H50" s="4">
        <f>IFERROR(INDEX('Usage Detail'!$H:$H,AGGREGATE(15,6,ROW('Usage Detail'!$A$5:$A$204)/(('Usage Detail'!$B$5:$B$204="Tasting")+('Usage Detail'!$B$5:$B$204="Promotional")),ROW(A42))),"")</f>
        <v/>
      </c>
    </row>
    <row r="51">
      <c r="A51" s="3">
        <f>IFERROR(INDEX('Usage Detail'!$A:$A,AGGREGATE(15,6,ROW('Usage Detail'!$A$5:$A$204)/(('Usage Detail'!$B$5:$B$204="Tasting")+('Usage Detail'!$B$5:$B$204="Promotional")),ROW(A43))),"")</f>
        <v/>
      </c>
      <c r="B51" s="3">
        <f>IFERROR(INDEX('Usage Detail'!$B:$B,AGGREGATE(15,6,ROW('Usage Detail'!$A$5:$A$204)/(('Usage Detail'!$B$5:$B$204="Tasting")+('Usage Detail'!$B$5:$B$204="Promotional")),ROW(A43))),"")</f>
        <v/>
      </c>
      <c r="C51" s="3">
        <f>IFERROR(INDEX('Usage Detail'!$C:$C,AGGREGATE(15,6,ROW('Usage Detail'!$A$5:$A$204)/(('Usage Detail'!$B$5:$B$204="Tasting")+('Usage Detail'!$B$5:$B$204="Promotional")),ROW(A43))),"")</f>
        <v/>
      </c>
      <c r="D51" s="3">
        <f>IFERROR(INDEX('Usage Detail'!$D:$D,AGGREGATE(15,6,ROW('Usage Detail'!$A$5:$A$204)/(('Usage Detail'!$B$5:$B$204="Tasting")+('Usage Detail'!$B$5:$B$204="Promotional")),ROW(A43))),"")</f>
        <v/>
      </c>
      <c r="E51" s="4">
        <f>IFERROR(INDEX('Usage Detail'!$E:$E,AGGREGATE(15,6,ROW('Usage Detail'!$A$5:$A$204)/(('Usage Detail'!$B$5:$B$204="Tasting")+('Usage Detail'!$B$5:$B$204="Promotional")),ROW(A43))),"")</f>
        <v/>
      </c>
      <c r="F51" s="4">
        <f>IFERROR(INDEX('Usage Detail'!$F:$F,AGGREGATE(15,6,ROW('Usage Detail'!$A$5:$A$204)/(('Usage Detail'!$B$5:$B$204="Tasting")+('Usage Detail'!$B$5:$B$204="Promotional")),ROW(A43))),"")</f>
        <v/>
      </c>
      <c r="G51" s="4">
        <f>IFERROR(INDEX('Usage Detail'!$G:$G,AGGREGATE(15,6,ROW('Usage Detail'!$A$5:$A$204)/(('Usage Detail'!$B$5:$B$204="Tasting")+('Usage Detail'!$B$5:$B$204="Promotional")),ROW(A43))),"")</f>
        <v/>
      </c>
      <c r="H51" s="4">
        <f>IFERROR(INDEX('Usage Detail'!$H:$H,AGGREGATE(15,6,ROW('Usage Detail'!$A$5:$A$204)/(('Usage Detail'!$B$5:$B$204="Tasting")+('Usage Detail'!$B$5:$B$204="Promotional")),ROW(A43))),"")</f>
        <v/>
      </c>
    </row>
    <row r="52">
      <c r="A52" s="3">
        <f>IFERROR(INDEX('Usage Detail'!$A:$A,AGGREGATE(15,6,ROW('Usage Detail'!$A$5:$A$204)/(('Usage Detail'!$B$5:$B$204="Tasting")+('Usage Detail'!$B$5:$B$204="Promotional")),ROW(A44))),"")</f>
        <v/>
      </c>
      <c r="B52" s="3">
        <f>IFERROR(INDEX('Usage Detail'!$B:$B,AGGREGATE(15,6,ROW('Usage Detail'!$A$5:$A$204)/(('Usage Detail'!$B$5:$B$204="Tasting")+('Usage Detail'!$B$5:$B$204="Promotional")),ROW(A44))),"")</f>
        <v/>
      </c>
      <c r="C52" s="3">
        <f>IFERROR(INDEX('Usage Detail'!$C:$C,AGGREGATE(15,6,ROW('Usage Detail'!$A$5:$A$204)/(('Usage Detail'!$B$5:$B$204="Tasting")+('Usage Detail'!$B$5:$B$204="Promotional")),ROW(A44))),"")</f>
        <v/>
      </c>
      <c r="D52" s="3">
        <f>IFERROR(INDEX('Usage Detail'!$D:$D,AGGREGATE(15,6,ROW('Usage Detail'!$A$5:$A$204)/(('Usage Detail'!$B$5:$B$204="Tasting")+('Usage Detail'!$B$5:$B$204="Promotional")),ROW(A44))),"")</f>
        <v/>
      </c>
      <c r="E52" s="4">
        <f>IFERROR(INDEX('Usage Detail'!$E:$E,AGGREGATE(15,6,ROW('Usage Detail'!$A$5:$A$204)/(('Usage Detail'!$B$5:$B$204="Tasting")+('Usage Detail'!$B$5:$B$204="Promotional")),ROW(A44))),"")</f>
        <v/>
      </c>
      <c r="F52" s="4">
        <f>IFERROR(INDEX('Usage Detail'!$F:$F,AGGREGATE(15,6,ROW('Usage Detail'!$A$5:$A$204)/(('Usage Detail'!$B$5:$B$204="Tasting")+('Usage Detail'!$B$5:$B$204="Promotional")),ROW(A44))),"")</f>
        <v/>
      </c>
      <c r="G52" s="4">
        <f>IFERROR(INDEX('Usage Detail'!$G:$G,AGGREGATE(15,6,ROW('Usage Detail'!$A$5:$A$204)/(('Usage Detail'!$B$5:$B$204="Tasting")+('Usage Detail'!$B$5:$B$204="Promotional")),ROW(A44))),"")</f>
        <v/>
      </c>
      <c r="H52" s="4">
        <f>IFERROR(INDEX('Usage Detail'!$H:$H,AGGREGATE(15,6,ROW('Usage Detail'!$A$5:$A$204)/(('Usage Detail'!$B$5:$B$204="Tasting")+('Usage Detail'!$B$5:$B$204="Promotional")),ROW(A44))),"")</f>
        <v/>
      </c>
    </row>
    <row r="53">
      <c r="A53" s="3">
        <f>IFERROR(INDEX('Usage Detail'!$A:$A,AGGREGATE(15,6,ROW('Usage Detail'!$A$5:$A$204)/(('Usage Detail'!$B$5:$B$204="Tasting")+('Usage Detail'!$B$5:$B$204="Promotional")),ROW(A45))),"")</f>
        <v/>
      </c>
      <c r="B53" s="3">
        <f>IFERROR(INDEX('Usage Detail'!$B:$B,AGGREGATE(15,6,ROW('Usage Detail'!$A$5:$A$204)/(('Usage Detail'!$B$5:$B$204="Tasting")+('Usage Detail'!$B$5:$B$204="Promotional")),ROW(A45))),"")</f>
        <v/>
      </c>
      <c r="C53" s="3">
        <f>IFERROR(INDEX('Usage Detail'!$C:$C,AGGREGATE(15,6,ROW('Usage Detail'!$A$5:$A$204)/(('Usage Detail'!$B$5:$B$204="Tasting")+('Usage Detail'!$B$5:$B$204="Promotional")),ROW(A45))),"")</f>
        <v/>
      </c>
      <c r="D53" s="3">
        <f>IFERROR(INDEX('Usage Detail'!$D:$D,AGGREGATE(15,6,ROW('Usage Detail'!$A$5:$A$204)/(('Usage Detail'!$B$5:$B$204="Tasting")+('Usage Detail'!$B$5:$B$204="Promotional")),ROW(A45))),"")</f>
        <v/>
      </c>
      <c r="E53" s="4">
        <f>IFERROR(INDEX('Usage Detail'!$E:$E,AGGREGATE(15,6,ROW('Usage Detail'!$A$5:$A$204)/(('Usage Detail'!$B$5:$B$204="Tasting")+('Usage Detail'!$B$5:$B$204="Promotional")),ROW(A45))),"")</f>
        <v/>
      </c>
      <c r="F53" s="4">
        <f>IFERROR(INDEX('Usage Detail'!$F:$F,AGGREGATE(15,6,ROW('Usage Detail'!$A$5:$A$204)/(('Usage Detail'!$B$5:$B$204="Tasting")+('Usage Detail'!$B$5:$B$204="Promotional")),ROW(A45))),"")</f>
        <v/>
      </c>
      <c r="G53" s="4">
        <f>IFERROR(INDEX('Usage Detail'!$G:$G,AGGREGATE(15,6,ROW('Usage Detail'!$A$5:$A$204)/(('Usage Detail'!$B$5:$B$204="Tasting")+('Usage Detail'!$B$5:$B$204="Promotional")),ROW(A45))),"")</f>
        <v/>
      </c>
      <c r="H53" s="4">
        <f>IFERROR(INDEX('Usage Detail'!$H:$H,AGGREGATE(15,6,ROW('Usage Detail'!$A$5:$A$204)/(('Usage Detail'!$B$5:$B$204="Tasting")+('Usage Detail'!$B$5:$B$204="Promotional")),ROW(A45))),"")</f>
        <v/>
      </c>
    </row>
    <row r="54">
      <c r="A54" s="3">
        <f>IFERROR(INDEX('Usage Detail'!$A:$A,AGGREGATE(15,6,ROW('Usage Detail'!$A$5:$A$204)/(('Usage Detail'!$B$5:$B$204="Tasting")+('Usage Detail'!$B$5:$B$204="Promotional")),ROW(A46))),"")</f>
        <v/>
      </c>
      <c r="B54" s="3">
        <f>IFERROR(INDEX('Usage Detail'!$B:$B,AGGREGATE(15,6,ROW('Usage Detail'!$A$5:$A$204)/(('Usage Detail'!$B$5:$B$204="Tasting")+('Usage Detail'!$B$5:$B$204="Promotional")),ROW(A46))),"")</f>
        <v/>
      </c>
      <c r="C54" s="3">
        <f>IFERROR(INDEX('Usage Detail'!$C:$C,AGGREGATE(15,6,ROW('Usage Detail'!$A$5:$A$204)/(('Usage Detail'!$B$5:$B$204="Tasting")+('Usage Detail'!$B$5:$B$204="Promotional")),ROW(A46))),"")</f>
        <v/>
      </c>
      <c r="D54" s="3">
        <f>IFERROR(INDEX('Usage Detail'!$D:$D,AGGREGATE(15,6,ROW('Usage Detail'!$A$5:$A$204)/(('Usage Detail'!$B$5:$B$204="Tasting")+('Usage Detail'!$B$5:$B$204="Promotional")),ROW(A46))),"")</f>
        <v/>
      </c>
      <c r="E54" s="4">
        <f>IFERROR(INDEX('Usage Detail'!$E:$E,AGGREGATE(15,6,ROW('Usage Detail'!$A$5:$A$204)/(('Usage Detail'!$B$5:$B$204="Tasting")+('Usage Detail'!$B$5:$B$204="Promotional")),ROW(A46))),"")</f>
        <v/>
      </c>
      <c r="F54" s="4">
        <f>IFERROR(INDEX('Usage Detail'!$F:$F,AGGREGATE(15,6,ROW('Usage Detail'!$A$5:$A$204)/(('Usage Detail'!$B$5:$B$204="Tasting")+('Usage Detail'!$B$5:$B$204="Promotional")),ROW(A46))),"")</f>
        <v/>
      </c>
      <c r="G54" s="4">
        <f>IFERROR(INDEX('Usage Detail'!$G:$G,AGGREGATE(15,6,ROW('Usage Detail'!$A$5:$A$204)/(('Usage Detail'!$B$5:$B$204="Tasting")+('Usage Detail'!$B$5:$B$204="Promotional")),ROW(A46))),"")</f>
        <v/>
      </c>
      <c r="H54" s="4">
        <f>IFERROR(INDEX('Usage Detail'!$H:$H,AGGREGATE(15,6,ROW('Usage Detail'!$A$5:$A$204)/(('Usage Detail'!$B$5:$B$204="Tasting")+('Usage Detail'!$B$5:$B$204="Promotional")),ROW(A46))),"")</f>
        <v/>
      </c>
    </row>
    <row r="55">
      <c r="A55" s="3">
        <f>IFERROR(INDEX('Usage Detail'!$A:$A,AGGREGATE(15,6,ROW('Usage Detail'!$A$5:$A$204)/(('Usage Detail'!$B$5:$B$204="Tasting")+('Usage Detail'!$B$5:$B$204="Promotional")),ROW(A47))),"")</f>
        <v/>
      </c>
      <c r="B55" s="3">
        <f>IFERROR(INDEX('Usage Detail'!$B:$B,AGGREGATE(15,6,ROW('Usage Detail'!$A$5:$A$204)/(('Usage Detail'!$B$5:$B$204="Tasting")+('Usage Detail'!$B$5:$B$204="Promotional")),ROW(A47))),"")</f>
        <v/>
      </c>
      <c r="C55" s="3">
        <f>IFERROR(INDEX('Usage Detail'!$C:$C,AGGREGATE(15,6,ROW('Usage Detail'!$A$5:$A$204)/(('Usage Detail'!$B$5:$B$204="Tasting")+('Usage Detail'!$B$5:$B$204="Promotional")),ROW(A47))),"")</f>
        <v/>
      </c>
      <c r="D55" s="3">
        <f>IFERROR(INDEX('Usage Detail'!$D:$D,AGGREGATE(15,6,ROW('Usage Detail'!$A$5:$A$204)/(('Usage Detail'!$B$5:$B$204="Tasting")+('Usage Detail'!$B$5:$B$204="Promotional")),ROW(A47))),"")</f>
        <v/>
      </c>
      <c r="E55" s="4">
        <f>IFERROR(INDEX('Usage Detail'!$E:$E,AGGREGATE(15,6,ROW('Usage Detail'!$A$5:$A$204)/(('Usage Detail'!$B$5:$B$204="Tasting")+('Usage Detail'!$B$5:$B$204="Promotional")),ROW(A47))),"")</f>
        <v/>
      </c>
      <c r="F55" s="4">
        <f>IFERROR(INDEX('Usage Detail'!$F:$F,AGGREGATE(15,6,ROW('Usage Detail'!$A$5:$A$204)/(('Usage Detail'!$B$5:$B$204="Tasting")+('Usage Detail'!$B$5:$B$204="Promotional")),ROW(A47))),"")</f>
        <v/>
      </c>
      <c r="G55" s="4">
        <f>IFERROR(INDEX('Usage Detail'!$G:$G,AGGREGATE(15,6,ROW('Usage Detail'!$A$5:$A$204)/(('Usage Detail'!$B$5:$B$204="Tasting")+('Usage Detail'!$B$5:$B$204="Promotional")),ROW(A47))),"")</f>
        <v/>
      </c>
      <c r="H55" s="4">
        <f>IFERROR(INDEX('Usage Detail'!$H:$H,AGGREGATE(15,6,ROW('Usage Detail'!$A$5:$A$204)/(('Usage Detail'!$B$5:$B$204="Tasting")+('Usage Detail'!$B$5:$B$204="Promotional")),ROW(A47))),"")</f>
        <v/>
      </c>
    </row>
    <row r="56">
      <c r="A56" s="3">
        <f>IFERROR(INDEX('Usage Detail'!$A:$A,AGGREGATE(15,6,ROW('Usage Detail'!$A$5:$A$204)/(('Usage Detail'!$B$5:$B$204="Tasting")+('Usage Detail'!$B$5:$B$204="Promotional")),ROW(A48))),"")</f>
        <v/>
      </c>
      <c r="B56" s="3">
        <f>IFERROR(INDEX('Usage Detail'!$B:$B,AGGREGATE(15,6,ROW('Usage Detail'!$A$5:$A$204)/(('Usage Detail'!$B$5:$B$204="Tasting")+('Usage Detail'!$B$5:$B$204="Promotional")),ROW(A48))),"")</f>
        <v/>
      </c>
      <c r="C56" s="3">
        <f>IFERROR(INDEX('Usage Detail'!$C:$C,AGGREGATE(15,6,ROW('Usage Detail'!$A$5:$A$204)/(('Usage Detail'!$B$5:$B$204="Tasting")+('Usage Detail'!$B$5:$B$204="Promotional")),ROW(A48))),"")</f>
        <v/>
      </c>
      <c r="D56" s="3">
        <f>IFERROR(INDEX('Usage Detail'!$D:$D,AGGREGATE(15,6,ROW('Usage Detail'!$A$5:$A$204)/(('Usage Detail'!$B$5:$B$204="Tasting")+('Usage Detail'!$B$5:$B$204="Promotional")),ROW(A48))),"")</f>
        <v/>
      </c>
      <c r="E56" s="4">
        <f>IFERROR(INDEX('Usage Detail'!$E:$E,AGGREGATE(15,6,ROW('Usage Detail'!$A$5:$A$204)/(('Usage Detail'!$B$5:$B$204="Tasting")+('Usage Detail'!$B$5:$B$204="Promotional")),ROW(A48))),"")</f>
        <v/>
      </c>
      <c r="F56" s="4">
        <f>IFERROR(INDEX('Usage Detail'!$F:$F,AGGREGATE(15,6,ROW('Usage Detail'!$A$5:$A$204)/(('Usage Detail'!$B$5:$B$204="Tasting")+('Usage Detail'!$B$5:$B$204="Promotional")),ROW(A48))),"")</f>
        <v/>
      </c>
      <c r="G56" s="4">
        <f>IFERROR(INDEX('Usage Detail'!$G:$G,AGGREGATE(15,6,ROW('Usage Detail'!$A$5:$A$204)/(('Usage Detail'!$B$5:$B$204="Tasting")+('Usage Detail'!$B$5:$B$204="Promotional")),ROW(A48))),"")</f>
        <v/>
      </c>
      <c r="H56" s="4">
        <f>IFERROR(INDEX('Usage Detail'!$H:$H,AGGREGATE(15,6,ROW('Usage Detail'!$A$5:$A$204)/(('Usage Detail'!$B$5:$B$204="Tasting")+('Usage Detail'!$B$5:$B$204="Promotional")),ROW(A48))),"")</f>
        <v/>
      </c>
    </row>
    <row r="57">
      <c r="A57" s="3">
        <f>IFERROR(INDEX('Usage Detail'!$A:$A,AGGREGATE(15,6,ROW('Usage Detail'!$A$5:$A$204)/(('Usage Detail'!$B$5:$B$204="Tasting")+('Usage Detail'!$B$5:$B$204="Promotional")),ROW(A49))),"")</f>
        <v/>
      </c>
      <c r="B57" s="3">
        <f>IFERROR(INDEX('Usage Detail'!$B:$B,AGGREGATE(15,6,ROW('Usage Detail'!$A$5:$A$204)/(('Usage Detail'!$B$5:$B$204="Tasting")+('Usage Detail'!$B$5:$B$204="Promotional")),ROW(A49))),"")</f>
        <v/>
      </c>
      <c r="C57" s="3">
        <f>IFERROR(INDEX('Usage Detail'!$C:$C,AGGREGATE(15,6,ROW('Usage Detail'!$A$5:$A$204)/(('Usage Detail'!$B$5:$B$204="Tasting")+('Usage Detail'!$B$5:$B$204="Promotional")),ROW(A49))),"")</f>
        <v/>
      </c>
      <c r="D57" s="3">
        <f>IFERROR(INDEX('Usage Detail'!$D:$D,AGGREGATE(15,6,ROW('Usage Detail'!$A$5:$A$204)/(('Usage Detail'!$B$5:$B$204="Tasting")+('Usage Detail'!$B$5:$B$204="Promotional")),ROW(A49))),"")</f>
        <v/>
      </c>
      <c r="E57" s="4">
        <f>IFERROR(INDEX('Usage Detail'!$E:$E,AGGREGATE(15,6,ROW('Usage Detail'!$A$5:$A$204)/(('Usage Detail'!$B$5:$B$204="Tasting")+('Usage Detail'!$B$5:$B$204="Promotional")),ROW(A49))),"")</f>
        <v/>
      </c>
      <c r="F57" s="4">
        <f>IFERROR(INDEX('Usage Detail'!$F:$F,AGGREGATE(15,6,ROW('Usage Detail'!$A$5:$A$204)/(('Usage Detail'!$B$5:$B$204="Tasting")+('Usage Detail'!$B$5:$B$204="Promotional")),ROW(A49))),"")</f>
        <v/>
      </c>
      <c r="G57" s="4">
        <f>IFERROR(INDEX('Usage Detail'!$G:$G,AGGREGATE(15,6,ROW('Usage Detail'!$A$5:$A$204)/(('Usage Detail'!$B$5:$B$204="Tasting")+('Usage Detail'!$B$5:$B$204="Promotional")),ROW(A49))),"")</f>
        <v/>
      </c>
      <c r="H57" s="4">
        <f>IFERROR(INDEX('Usage Detail'!$H:$H,AGGREGATE(15,6,ROW('Usage Detail'!$A$5:$A$204)/(('Usage Detail'!$B$5:$B$204="Tasting")+('Usage Detail'!$B$5:$B$204="Promotional")),ROW(A49))),"")</f>
        <v/>
      </c>
    </row>
    <row r="58">
      <c r="A58" s="3">
        <f>IFERROR(INDEX('Usage Detail'!$A:$A,AGGREGATE(15,6,ROW('Usage Detail'!$A$5:$A$204)/(('Usage Detail'!$B$5:$B$204="Tasting")+('Usage Detail'!$B$5:$B$204="Promotional")),ROW(A50))),"")</f>
        <v/>
      </c>
      <c r="B58" s="3">
        <f>IFERROR(INDEX('Usage Detail'!$B:$B,AGGREGATE(15,6,ROW('Usage Detail'!$A$5:$A$204)/(('Usage Detail'!$B$5:$B$204="Tasting")+('Usage Detail'!$B$5:$B$204="Promotional")),ROW(A50))),"")</f>
        <v/>
      </c>
      <c r="C58" s="3">
        <f>IFERROR(INDEX('Usage Detail'!$C:$C,AGGREGATE(15,6,ROW('Usage Detail'!$A$5:$A$204)/(('Usage Detail'!$B$5:$B$204="Tasting")+('Usage Detail'!$B$5:$B$204="Promotional")),ROW(A50))),"")</f>
        <v/>
      </c>
      <c r="D58" s="3">
        <f>IFERROR(INDEX('Usage Detail'!$D:$D,AGGREGATE(15,6,ROW('Usage Detail'!$A$5:$A$204)/(('Usage Detail'!$B$5:$B$204="Tasting")+('Usage Detail'!$B$5:$B$204="Promotional")),ROW(A50))),"")</f>
        <v/>
      </c>
      <c r="E58" s="4">
        <f>IFERROR(INDEX('Usage Detail'!$E:$E,AGGREGATE(15,6,ROW('Usage Detail'!$A$5:$A$204)/(('Usage Detail'!$B$5:$B$204="Tasting")+('Usage Detail'!$B$5:$B$204="Promotional")),ROW(A50))),"")</f>
        <v/>
      </c>
      <c r="F58" s="4">
        <f>IFERROR(INDEX('Usage Detail'!$F:$F,AGGREGATE(15,6,ROW('Usage Detail'!$A$5:$A$204)/(('Usage Detail'!$B$5:$B$204="Tasting")+('Usage Detail'!$B$5:$B$204="Promotional")),ROW(A50))),"")</f>
        <v/>
      </c>
      <c r="G58" s="4">
        <f>IFERROR(INDEX('Usage Detail'!$G:$G,AGGREGATE(15,6,ROW('Usage Detail'!$A$5:$A$204)/(('Usage Detail'!$B$5:$B$204="Tasting")+('Usage Detail'!$B$5:$B$204="Promotional")),ROW(A50))),"")</f>
        <v/>
      </c>
      <c r="H58" s="4">
        <f>IFERROR(INDEX('Usage Detail'!$H:$H,AGGREGATE(15,6,ROW('Usage Detail'!$A$5:$A$204)/(('Usage Detail'!$B$5:$B$204="Tasting")+('Usage Detail'!$B$5:$B$204="Promotional")),ROW(A50))),"")</f>
        <v/>
      </c>
    </row>
    <row r="59">
      <c r="A59" s="3">
        <f>IFERROR(INDEX('Usage Detail'!$A:$A,AGGREGATE(15,6,ROW('Usage Detail'!$A$5:$A$204)/(('Usage Detail'!$B$5:$B$204="Tasting")+('Usage Detail'!$B$5:$B$204="Promotional")),ROW(A51))),"")</f>
        <v/>
      </c>
      <c r="B59" s="3">
        <f>IFERROR(INDEX('Usage Detail'!$B:$B,AGGREGATE(15,6,ROW('Usage Detail'!$A$5:$A$204)/(('Usage Detail'!$B$5:$B$204="Tasting")+('Usage Detail'!$B$5:$B$204="Promotional")),ROW(A51))),"")</f>
        <v/>
      </c>
      <c r="C59" s="3">
        <f>IFERROR(INDEX('Usage Detail'!$C:$C,AGGREGATE(15,6,ROW('Usage Detail'!$A$5:$A$204)/(('Usage Detail'!$B$5:$B$204="Tasting")+('Usage Detail'!$B$5:$B$204="Promotional")),ROW(A51))),"")</f>
        <v/>
      </c>
      <c r="D59" s="3">
        <f>IFERROR(INDEX('Usage Detail'!$D:$D,AGGREGATE(15,6,ROW('Usage Detail'!$A$5:$A$204)/(('Usage Detail'!$B$5:$B$204="Tasting")+('Usage Detail'!$B$5:$B$204="Promotional")),ROW(A51))),"")</f>
        <v/>
      </c>
      <c r="E59" s="4">
        <f>IFERROR(INDEX('Usage Detail'!$E:$E,AGGREGATE(15,6,ROW('Usage Detail'!$A$5:$A$204)/(('Usage Detail'!$B$5:$B$204="Tasting")+('Usage Detail'!$B$5:$B$204="Promotional")),ROW(A51))),"")</f>
        <v/>
      </c>
      <c r="F59" s="4">
        <f>IFERROR(INDEX('Usage Detail'!$F:$F,AGGREGATE(15,6,ROW('Usage Detail'!$A$5:$A$204)/(('Usage Detail'!$B$5:$B$204="Tasting")+('Usage Detail'!$B$5:$B$204="Promotional")),ROW(A51))),"")</f>
        <v/>
      </c>
      <c r="G59" s="4">
        <f>IFERROR(INDEX('Usage Detail'!$G:$G,AGGREGATE(15,6,ROW('Usage Detail'!$A$5:$A$204)/(('Usage Detail'!$B$5:$B$204="Tasting")+('Usage Detail'!$B$5:$B$204="Promotional")),ROW(A51))),"")</f>
        <v/>
      </c>
      <c r="H59" s="4">
        <f>IFERROR(INDEX('Usage Detail'!$H:$H,AGGREGATE(15,6,ROW('Usage Detail'!$A$5:$A$204)/(('Usage Detail'!$B$5:$B$204="Tasting")+('Usage Detail'!$B$5:$B$204="Promotional")),ROW(A51))),"")</f>
        <v/>
      </c>
    </row>
    <row r="60">
      <c r="A60" s="3">
        <f>IFERROR(INDEX('Usage Detail'!$A:$A,AGGREGATE(15,6,ROW('Usage Detail'!$A$5:$A$204)/(('Usage Detail'!$B$5:$B$204="Tasting")+('Usage Detail'!$B$5:$B$204="Promotional")),ROW(A52))),"")</f>
        <v/>
      </c>
      <c r="B60" s="3">
        <f>IFERROR(INDEX('Usage Detail'!$B:$B,AGGREGATE(15,6,ROW('Usage Detail'!$A$5:$A$204)/(('Usage Detail'!$B$5:$B$204="Tasting")+('Usage Detail'!$B$5:$B$204="Promotional")),ROW(A52))),"")</f>
        <v/>
      </c>
      <c r="C60" s="3">
        <f>IFERROR(INDEX('Usage Detail'!$C:$C,AGGREGATE(15,6,ROW('Usage Detail'!$A$5:$A$204)/(('Usage Detail'!$B$5:$B$204="Tasting")+('Usage Detail'!$B$5:$B$204="Promotional")),ROW(A52))),"")</f>
        <v/>
      </c>
      <c r="D60" s="3">
        <f>IFERROR(INDEX('Usage Detail'!$D:$D,AGGREGATE(15,6,ROW('Usage Detail'!$A$5:$A$204)/(('Usage Detail'!$B$5:$B$204="Tasting")+('Usage Detail'!$B$5:$B$204="Promotional")),ROW(A52))),"")</f>
        <v/>
      </c>
      <c r="E60" s="4">
        <f>IFERROR(INDEX('Usage Detail'!$E:$E,AGGREGATE(15,6,ROW('Usage Detail'!$A$5:$A$204)/(('Usage Detail'!$B$5:$B$204="Tasting")+('Usage Detail'!$B$5:$B$204="Promotional")),ROW(A52))),"")</f>
        <v/>
      </c>
      <c r="F60" s="4">
        <f>IFERROR(INDEX('Usage Detail'!$F:$F,AGGREGATE(15,6,ROW('Usage Detail'!$A$5:$A$204)/(('Usage Detail'!$B$5:$B$204="Tasting")+('Usage Detail'!$B$5:$B$204="Promotional")),ROW(A52))),"")</f>
        <v/>
      </c>
      <c r="G60" s="4">
        <f>IFERROR(INDEX('Usage Detail'!$G:$G,AGGREGATE(15,6,ROW('Usage Detail'!$A$5:$A$204)/(('Usage Detail'!$B$5:$B$204="Tasting")+('Usage Detail'!$B$5:$B$204="Promotional")),ROW(A52))),"")</f>
        <v/>
      </c>
      <c r="H60" s="4">
        <f>IFERROR(INDEX('Usage Detail'!$H:$H,AGGREGATE(15,6,ROW('Usage Detail'!$A$5:$A$204)/(('Usage Detail'!$B$5:$B$204="Tasting")+('Usage Detail'!$B$5:$B$204="Promotional")),ROW(A52))),"")</f>
        <v/>
      </c>
    </row>
    <row r="61">
      <c r="A61" s="3">
        <f>IFERROR(INDEX('Usage Detail'!$A:$A,AGGREGATE(15,6,ROW('Usage Detail'!$A$5:$A$204)/(('Usage Detail'!$B$5:$B$204="Tasting")+('Usage Detail'!$B$5:$B$204="Promotional")),ROW(A53))),"")</f>
        <v/>
      </c>
      <c r="B61" s="3">
        <f>IFERROR(INDEX('Usage Detail'!$B:$B,AGGREGATE(15,6,ROW('Usage Detail'!$A$5:$A$204)/(('Usage Detail'!$B$5:$B$204="Tasting")+('Usage Detail'!$B$5:$B$204="Promotional")),ROW(A53))),"")</f>
        <v/>
      </c>
      <c r="C61" s="3">
        <f>IFERROR(INDEX('Usage Detail'!$C:$C,AGGREGATE(15,6,ROW('Usage Detail'!$A$5:$A$204)/(('Usage Detail'!$B$5:$B$204="Tasting")+('Usage Detail'!$B$5:$B$204="Promotional")),ROW(A53))),"")</f>
        <v/>
      </c>
      <c r="D61" s="3">
        <f>IFERROR(INDEX('Usage Detail'!$D:$D,AGGREGATE(15,6,ROW('Usage Detail'!$A$5:$A$204)/(('Usage Detail'!$B$5:$B$204="Tasting")+('Usage Detail'!$B$5:$B$204="Promotional")),ROW(A53))),"")</f>
        <v/>
      </c>
      <c r="E61" s="4">
        <f>IFERROR(INDEX('Usage Detail'!$E:$E,AGGREGATE(15,6,ROW('Usage Detail'!$A$5:$A$204)/(('Usage Detail'!$B$5:$B$204="Tasting")+('Usage Detail'!$B$5:$B$204="Promotional")),ROW(A53))),"")</f>
        <v/>
      </c>
      <c r="F61" s="4">
        <f>IFERROR(INDEX('Usage Detail'!$F:$F,AGGREGATE(15,6,ROW('Usage Detail'!$A$5:$A$204)/(('Usage Detail'!$B$5:$B$204="Tasting")+('Usage Detail'!$B$5:$B$204="Promotional")),ROW(A53))),"")</f>
        <v/>
      </c>
      <c r="G61" s="4">
        <f>IFERROR(INDEX('Usage Detail'!$G:$G,AGGREGATE(15,6,ROW('Usage Detail'!$A$5:$A$204)/(('Usage Detail'!$B$5:$B$204="Tasting")+('Usage Detail'!$B$5:$B$204="Promotional")),ROW(A53))),"")</f>
        <v/>
      </c>
      <c r="H61" s="4">
        <f>IFERROR(INDEX('Usage Detail'!$H:$H,AGGREGATE(15,6,ROW('Usage Detail'!$A$5:$A$204)/(('Usage Detail'!$B$5:$B$204="Tasting")+('Usage Detail'!$B$5:$B$204="Promotional")),ROW(A53))),"")</f>
        <v/>
      </c>
    </row>
    <row r="62">
      <c r="A62" s="3">
        <f>IFERROR(INDEX('Usage Detail'!$A:$A,AGGREGATE(15,6,ROW('Usage Detail'!$A$5:$A$204)/(('Usage Detail'!$B$5:$B$204="Tasting")+('Usage Detail'!$B$5:$B$204="Promotional")),ROW(A54))),"")</f>
        <v/>
      </c>
      <c r="B62" s="3">
        <f>IFERROR(INDEX('Usage Detail'!$B:$B,AGGREGATE(15,6,ROW('Usage Detail'!$A$5:$A$204)/(('Usage Detail'!$B$5:$B$204="Tasting")+('Usage Detail'!$B$5:$B$204="Promotional")),ROW(A54))),"")</f>
        <v/>
      </c>
      <c r="C62" s="3">
        <f>IFERROR(INDEX('Usage Detail'!$C:$C,AGGREGATE(15,6,ROW('Usage Detail'!$A$5:$A$204)/(('Usage Detail'!$B$5:$B$204="Tasting")+('Usage Detail'!$B$5:$B$204="Promotional")),ROW(A54))),"")</f>
        <v/>
      </c>
      <c r="D62" s="3">
        <f>IFERROR(INDEX('Usage Detail'!$D:$D,AGGREGATE(15,6,ROW('Usage Detail'!$A$5:$A$204)/(('Usage Detail'!$B$5:$B$204="Tasting")+('Usage Detail'!$B$5:$B$204="Promotional")),ROW(A54))),"")</f>
        <v/>
      </c>
      <c r="E62" s="4">
        <f>IFERROR(INDEX('Usage Detail'!$E:$E,AGGREGATE(15,6,ROW('Usage Detail'!$A$5:$A$204)/(('Usage Detail'!$B$5:$B$204="Tasting")+('Usage Detail'!$B$5:$B$204="Promotional")),ROW(A54))),"")</f>
        <v/>
      </c>
      <c r="F62" s="4">
        <f>IFERROR(INDEX('Usage Detail'!$F:$F,AGGREGATE(15,6,ROW('Usage Detail'!$A$5:$A$204)/(('Usage Detail'!$B$5:$B$204="Tasting")+('Usage Detail'!$B$5:$B$204="Promotional")),ROW(A54))),"")</f>
        <v/>
      </c>
      <c r="G62" s="4">
        <f>IFERROR(INDEX('Usage Detail'!$G:$G,AGGREGATE(15,6,ROW('Usage Detail'!$A$5:$A$204)/(('Usage Detail'!$B$5:$B$204="Tasting")+('Usage Detail'!$B$5:$B$204="Promotional")),ROW(A54))),"")</f>
        <v/>
      </c>
      <c r="H62" s="4">
        <f>IFERROR(INDEX('Usage Detail'!$H:$H,AGGREGATE(15,6,ROW('Usage Detail'!$A$5:$A$204)/(('Usage Detail'!$B$5:$B$204="Tasting")+('Usage Detail'!$B$5:$B$204="Promotional")),ROW(A54))),"")</f>
        <v/>
      </c>
    </row>
    <row r="63">
      <c r="A63" s="3">
        <f>IFERROR(INDEX('Usage Detail'!$A:$A,AGGREGATE(15,6,ROW('Usage Detail'!$A$5:$A$204)/(('Usage Detail'!$B$5:$B$204="Tasting")+('Usage Detail'!$B$5:$B$204="Promotional")),ROW(A55))),"")</f>
        <v/>
      </c>
      <c r="B63" s="3">
        <f>IFERROR(INDEX('Usage Detail'!$B:$B,AGGREGATE(15,6,ROW('Usage Detail'!$A$5:$A$204)/(('Usage Detail'!$B$5:$B$204="Tasting")+('Usage Detail'!$B$5:$B$204="Promotional")),ROW(A55))),"")</f>
        <v/>
      </c>
      <c r="C63" s="3">
        <f>IFERROR(INDEX('Usage Detail'!$C:$C,AGGREGATE(15,6,ROW('Usage Detail'!$A$5:$A$204)/(('Usage Detail'!$B$5:$B$204="Tasting")+('Usage Detail'!$B$5:$B$204="Promotional")),ROW(A55))),"")</f>
        <v/>
      </c>
      <c r="D63" s="3">
        <f>IFERROR(INDEX('Usage Detail'!$D:$D,AGGREGATE(15,6,ROW('Usage Detail'!$A$5:$A$204)/(('Usage Detail'!$B$5:$B$204="Tasting")+('Usage Detail'!$B$5:$B$204="Promotional")),ROW(A55))),"")</f>
        <v/>
      </c>
      <c r="E63" s="4">
        <f>IFERROR(INDEX('Usage Detail'!$E:$E,AGGREGATE(15,6,ROW('Usage Detail'!$A$5:$A$204)/(('Usage Detail'!$B$5:$B$204="Tasting")+('Usage Detail'!$B$5:$B$204="Promotional")),ROW(A55))),"")</f>
        <v/>
      </c>
      <c r="F63" s="4">
        <f>IFERROR(INDEX('Usage Detail'!$F:$F,AGGREGATE(15,6,ROW('Usage Detail'!$A$5:$A$204)/(('Usage Detail'!$B$5:$B$204="Tasting")+('Usage Detail'!$B$5:$B$204="Promotional")),ROW(A55))),"")</f>
        <v/>
      </c>
      <c r="G63" s="4">
        <f>IFERROR(INDEX('Usage Detail'!$G:$G,AGGREGATE(15,6,ROW('Usage Detail'!$A$5:$A$204)/(('Usage Detail'!$B$5:$B$204="Tasting")+('Usage Detail'!$B$5:$B$204="Promotional")),ROW(A55))),"")</f>
        <v/>
      </c>
      <c r="H63" s="4">
        <f>IFERROR(INDEX('Usage Detail'!$H:$H,AGGREGATE(15,6,ROW('Usage Detail'!$A$5:$A$204)/(('Usage Detail'!$B$5:$B$204="Tasting")+('Usage Detail'!$B$5:$B$204="Promotional")),ROW(A55))),"")</f>
        <v/>
      </c>
    </row>
    <row r="64">
      <c r="A64" s="3">
        <f>IFERROR(INDEX('Usage Detail'!$A:$A,AGGREGATE(15,6,ROW('Usage Detail'!$A$5:$A$204)/(('Usage Detail'!$B$5:$B$204="Tasting")+('Usage Detail'!$B$5:$B$204="Promotional")),ROW(A56))),"")</f>
        <v/>
      </c>
      <c r="B64" s="3">
        <f>IFERROR(INDEX('Usage Detail'!$B:$B,AGGREGATE(15,6,ROW('Usage Detail'!$A$5:$A$204)/(('Usage Detail'!$B$5:$B$204="Tasting")+('Usage Detail'!$B$5:$B$204="Promotional")),ROW(A56))),"")</f>
        <v/>
      </c>
      <c r="C64" s="3">
        <f>IFERROR(INDEX('Usage Detail'!$C:$C,AGGREGATE(15,6,ROW('Usage Detail'!$A$5:$A$204)/(('Usage Detail'!$B$5:$B$204="Tasting")+('Usage Detail'!$B$5:$B$204="Promotional")),ROW(A56))),"")</f>
        <v/>
      </c>
      <c r="D64" s="3">
        <f>IFERROR(INDEX('Usage Detail'!$D:$D,AGGREGATE(15,6,ROW('Usage Detail'!$A$5:$A$204)/(('Usage Detail'!$B$5:$B$204="Tasting")+('Usage Detail'!$B$5:$B$204="Promotional")),ROW(A56))),"")</f>
        <v/>
      </c>
      <c r="E64" s="4">
        <f>IFERROR(INDEX('Usage Detail'!$E:$E,AGGREGATE(15,6,ROW('Usage Detail'!$A$5:$A$204)/(('Usage Detail'!$B$5:$B$204="Tasting")+('Usage Detail'!$B$5:$B$204="Promotional")),ROW(A56))),"")</f>
        <v/>
      </c>
      <c r="F64" s="4">
        <f>IFERROR(INDEX('Usage Detail'!$F:$F,AGGREGATE(15,6,ROW('Usage Detail'!$A$5:$A$204)/(('Usage Detail'!$B$5:$B$204="Tasting")+('Usage Detail'!$B$5:$B$204="Promotional")),ROW(A56))),"")</f>
        <v/>
      </c>
      <c r="G64" s="4">
        <f>IFERROR(INDEX('Usage Detail'!$G:$G,AGGREGATE(15,6,ROW('Usage Detail'!$A$5:$A$204)/(('Usage Detail'!$B$5:$B$204="Tasting")+('Usage Detail'!$B$5:$B$204="Promotional")),ROW(A56))),"")</f>
        <v/>
      </c>
      <c r="H64" s="4">
        <f>IFERROR(INDEX('Usage Detail'!$H:$H,AGGREGATE(15,6,ROW('Usage Detail'!$A$5:$A$204)/(('Usage Detail'!$B$5:$B$204="Tasting")+('Usage Detail'!$B$5:$B$204="Promotional")),ROW(A56))),"")</f>
        <v/>
      </c>
    </row>
    <row r="65">
      <c r="A65" s="3">
        <f>IFERROR(INDEX('Usage Detail'!$A:$A,AGGREGATE(15,6,ROW('Usage Detail'!$A$5:$A$204)/(('Usage Detail'!$B$5:$B$204="Tasting")+('Usage Detail'!$B$5:$B$204="Promotional")),ROW(A57))),"")</f>
        <v/>
      </c>
      <c r="B65" s="3">
        <f>IFERROR(INDEX('Usage Detail'!$B:$B,AGGREGATE(15,6,ROW('Usage Detail'!$A$5:$A$204)/(('Usage Detail'!$B$5:$B$204="Tasting")+('Usage Detail'!$B$5:$B$204="Promotional")),ROW(A57))),"")</f>
        <v/>
      </c>
      <c r="C65" s="3">
        <f>IFERROR(INDEX('Usage Detail'!$C:$C,AGGREGATE(15,6,ROW('Usage Detail'!$A$5:$A$204)/(('Usage Detail'!$B$5:$B$204="Tasting")+('Usage Detail'!$B$5:$B$204="Promotional")),ROW(A57))),"")</f>
        <v/>
      </c>
      <c r="D65" s="3">
        <f>IFERROR(INDEX('Usage Detail'!$D:$D,AGGREGATE(15,6,ROW('Usage Detail'!$A$5:$A$204)/(('Usage Detail'!$B$5:$B$204="Tasting")+('Usage Detail'!$B$5:$B$204="Promotional")),ROW(A57))),"")</f>
        <v/>
      </c>
      <c r="E65" s="4">
        <f>IFERROR(INDEX('Usage Detail'!$E:$E,AGGREGATE(15,6,ROW('Usage Detail'!$A$5:$A$204)/(('Usage Detail'!$B$5:$B$204="Tasting")+('Usage Detail'!$B$5:$B$204="Promotional")),ROW(A57))),"")</f>
        <v/>
      </c>
      <c r="F65" s="4">
        <f>IFERROR(INDEX('Usage Detail'!$F:$F,AGGREGATE(15,6,ROW('Usage Detail'!$A$5:$A$204)/(('Usage Detail'!$B$5:$B$204="Tasting")+('Usage Detail'!$B$5:$B$204="Promotional")),ROW(A57))),"")</f>
        <v/>
      </c>
      <c r="G65" s="4">
        <f>IFERROR(INDEX('Usage Detail'!$G:$G,AGGREGATE(15,6,ROW('Usage Detail'!$A$5:$A$204)/(('Usage Detail'!$B$5:$B$204="Tasting")+('Usage Detail'!$B$5:$B$204="Promotional")),ROW(A57))),"")</f>
        <v/>
      </c>
      <c r="H65" s="4">
        <f>IFERROR(INDEX('Usage Detail'!$H:$H,AGGREGATE(15,6,ROW('Usage Detail'!$A$5:$A$204)/(('Usage Detail'!$B$5:$B$204="Tasting")+('Usage Detail'!$B$5:$B$204="Promotional")),ROW(A57))),"")</f>
        <v/>
      </c>
    </row>
    <row r="66">
      <c r="A66" s="3">
        <f>IFERROR(INDEX('Usage Detail'!$A:$A,AGGREGATE(15,6,ROW('Usage Detail'!$A$5:$A$204)/(('Usage Detail'!$B$5:$B$204="Tasting")+('Usage Detail'!$B$5:$B$204="Promotional")),ROW(A58))),"")</f>
        <v/>
      </c>
      <c r="B66" s="3">
        <f>IFERROR(INDEX('Usage Detail'!$B:$B,AGGREGATE(15,6,ROW('Usage Detail'!$A$5:$A$204)/(('Usage Detail'!$B$5:$B$204="Tasting")+('Usage Detail'!$B$5:$B$204="Promotional")),ROW(A58))),"")</f>
        <v/>
      </c>
      <c r="C66" s="3">
        <f>IFERROR(INDEX('Usage Detail'!$C:$C,AGGREGATE(15,6,ROW('Usage Detail'!$A$5:$A$204)/(('Usage Detail'!$B$5:$B$204="Tasting")+('Usage Detail'!$B$5:$B$204="Promotional")),ROW(A58))),"")</f>
        <v/>
      </c>
      <c r="D66" s="3">
        <f>IFERROR(INDEX('Usage Detail'!$D:$D,AGGREGATE(15,6,ROW('Usage Detail'!$A$5:$A$204)/(('Usage Detail'!$B$5:$B$204="Tasting")+('Usage Detail'!$B$5:$B$204="Promotional")),ROW(A58))),"")</f>
        <v/>
      </c>
      <c r="E66" s="4">
        <f>IFERROR(INDEX('Usage Detail'!$E:$E,AGGREGATE(15,6,ROW('Usage Detail'!$A$5:$A$204)/(('Usage Detail'!$B$5:$B$204="Tasting")+('Usage Detail'!$B$5:$B$204="Promotional")),ROW(A58))),"")</f>
        <v/>
      </c>
      <c r="F66" s="4">
        <f>IFERROR(INDEX('Usage Detail'!$F:$F,AGGREGATE(15,6,ROW('Usage Detail'!$A$5:$A$204)/(('Usage Detail'!$B$5:$B$204="Tasting")+('Usage Detail'!$B$5:$B$204="Promotional")),ROW(A58))),"")</f>
        <v/>
      </c>
      <c r="G66" s="4">
        <f>IFERROR(INDEX('Usage Detail'!$G:$G,AGGREGATE(15,6,ROW('Usage Detail'!$A$5:$A$204)/(('Usage Detail'!$B$5:$B$204="Tasting")+('Usage Detail'!$B$5:$B$204="Promotional")),ROW(A58))),"")</f>
        <v/>
      </c>
      <c r="H66" s="4">
        <f>IFERROR(INDEX('Usage Detail'!$H:$H,AGGREGATE(15,6,ROW('Usage Detail'!$A$5:$A$204)/(('Usage Detail'!$B$5:$B$204="Tasting")+('Usage Detail'!$B$5:$B$204="Promotional")),ROW(A58))),"")</f>
        <v/>
      </c>
    </row>
    <row r="67">
      <c r="A67" s="3">
        <f>IFERROR(INDEX('Usage Detail'!$A:$A,AGGREGATE(15,6,ROW('Usage Detail'!$A$5:$A$204)/(('Usage Detail'!$B$5:$B$204="Tasting")+('Usage Detail'!$B$5:$B$204="Promotional")),ROW(A59))),"")</f>
        <v/>
      </c>
      <c r="B67" s="3">
        <f>IFERROR(INDEX('Usage Detail'!$B:$B,AGGREGATE(15,6,ROW('Usage Detail'!$A$5:$A$204)/(('Usage Detail'!$B$5:$B$204="Tasting")+('Usage Detail'!$B$5:$B$204="Promotional")),ROW(A59))),"")</f>
        <v/>
      </c>
      <c r="C67" s="3">
        <f>IFERROR(INDEX('Usage Detail'!$C:$C,AGGREGATE(15,6,ROW('Usage Detail'!$A$5:$A$204)/(('Usage Detail'!$B$5:$B$204="Tasting")+('Usage Detail'!$B$5:$B$204="Promotional")),ROW(A59))),"")</f>
        <v/>
      </c>
      <c r="D67" s="3">
        <f>IFERROR(INDEX('Usage Detail'!$D:$D,AGGREGATE(15,6,ROW('Usage Detail'!$A$5:$A$204)/(('Usage Detail'!$B$5:$B$204="Tasting")+('Usage Detail'!$B$5:$B$204="Promotional")),ROW(A59))),"")</f>
        <v/>
      </c>
      <c r="E67" s="4">
        <f>IFERROR(INDEX('Usage Detail'!$E:$E,AGGREGATE(15,6,ROW('Usage Detail'!$A$5:$A$204)/(('Usage Detail'!$B$5:$B$204="Tasting")+('Usage Detail'!$B$5:$B$204="Promotional")),ROW(A59))),"")</f>
        <v/>
      </c>
      <c r="F67" s="4">
        <f>IFERROR(INDEX('Usage Detail'!$F:$F,AGGREGATE(15,6,ROW('Usage Detail'!$A$5:$A$204)/(('Usage Detail'!$B$5:$B$204="Tasting")+('Usage Detail'!$B$5:$B$204="Promotional")),ROW(A59))),"")</f>
        <v/>
      </c>
      <c r="G67" s="4">
        <f>IFERROR(INDEX('Usage Detail'!$G:$G,AGGREGATE(15,6,ROW('Usage Detail'!$A$5:$A$204)/(('Usage Detail'!$B$5:$B$204="Tasting")+('Usage Detail'!$B$5:$B$204="Promotional")),ROW(A59))),"")</f>
        <v/>
      </c>
      <c r="H67" s="4">
        <f>IFERROR(INDEX('Usage Detail'!$H:$H,AGGREGATE(15,6,ROW('Usage Detail'!$A$5:$A$204)/(('Usage Detail'!$B$5:$B$204="Tasting")+('Usage Detail'!$B$5:$B$204="Promotional")),ROW(A59))),"")</f>
        <v/>
      </c>
    </row>
    <row r="68">
      <c r="A68" s="3">
        <f>IFERROR(INDEX('Usage Detail'!$A:$A,AGGREGATE(15,6,ROW('Usage Detail'!$A$5:$A$204)/(('Usage Detail'!$B$5:$B$204="Tasting")+('Usage Detail'!$B$5:$B$204="Promotional")),ROW(A60))),"")</f>
        <v/>
      </c>
      <c r="B68" s="3">
        <f>IFERROR(INDEX('Usage Detail'!$B:$B,AGGREGATE(15,6,ROW('Usage Detail'!$A$5:$A$204)/(('Usage Detail'!$B$5:$B$204="Tasting")+('Usage Detail'!$B$5:$B$204="Promotional")),ROW(A60))),"")</f>
        <v/>
      </c>
      <c r="C68" s="3">
        <f>IFERROR(INDEX('Usage Detail'!$C:$C,AGGREGATE(15,6,ROW('Usage Detail'!$A$5:$A$204)/(('Usage Detail'!$B$5:$B$204="Tasting")+('Usage Detail'!$B$5:$B$204="Promotional")),ROW(A60))),"")</f>
        <v/>
      </c>
      <c r="D68" s="3">
        <f>IFERROR(INDEX('Usage Detail'!$D:$D,AGGREGATE(15,6,ROW('Usage Detail'!$A$5:$A$204)/(('Usage Detail'!$B$5:$B$204="Tasting")+('Usage Detail'!$B$5:$B$204="Promotional")),ROW(A60))),"")</f>
        <v/>
      </c>
      <c r="E68" s="4">
        <f>IFERROR(INDEX('Usage Detail'!$E:$E,AGGREGATE(15,6,ROW('Usage Detail'!$A$5:$A$204)/(('Usage Detail'!$B$5:$B$204="Tasting")+('Usage Detail'!$B$5:$B$204="Promotional")),ROW(A60))),"")</f>
        <v/>
      </c>
      <c r="F68" s="4">
        <f>IFERROR(INDEX('Usage Detail'!$F:$F,AGGREGATE(15,6,ROW('Usage Detail'!$A$5:$A$204)/(('Usage Detail'!$B$5:$B$204="Tasting")+('Usage Detail'!$B$5:$B$204="Promotional")),ROW(A60))),"")</f>
        <v/>
      </c>
      <c r="G68" s="4">
        <f>IFERROR(INDEX('Usage Detail'!$G:$G,AGGREGATE(15,6,ROW('Usage Detail'!$A$5:$A$204)/(('Usage Detail'!$B$5:$B$204="Tasting")+('Usage Detail'!$B$5:$B$204="Promotional")),ROW(A60))),"")</f>
        <v/>
      </c>
      <c r="H68" s="4">
        <f>IFERROR(INDEX('Usage Detail'!$H:$H,AGGREGATE(15,6,ROW('Usage Detail'!$A$5:$A$204)/(('Usage Detail'!$B$5:$B$204="Tasting")+('Usage Detail'!$B$5:$B$204="Promotional")),ROW(A60))),"")</f>
        <v/>
      </c>
    </row>
    <row r="69">
      <c r="A69" s="3">
        <f>IFERROR(INDEX('Usage Detail'!$A:$A,AGGREGATE(15,6,ROW('Usage Detail'!$A$5:$A$204)/(('Usage Detail'!$B$5:$B$204="Tasting")+('Usage Detail'!$B$5:$B$204="Promotional")),ROW(A61))),"")</f>
        <v/>
      </c>
      <c r="B69" s="3">
        <f>IFERROR(INDEX('Usage Detail'!$B:$B,AGGREGATE(15,6,ROW('Usage Detail'!$A$5:$A$204)/(('Usage Detail'!$B$5:$B$204="Tasting")+('Usage Detail'!$B$5:$B$204="Promotional")),ROW(A61))),"")</f>
        <v/>
      </c>
      <c r="C69" s="3">
        <f>IFERROR(INDEX('Usage Detail'!$C:$C,AGGREGATE(15,6,ROW('Usage Detail'!$A$5:$A$204)/(('Usage Detail'!$B$5:$B$204="Tasting")+('Usage Detail'!$B$5:$B$204="Promotional")),ROW(A61))),"")</f>
        <v/>
      </c>
      <c r="D69" s="3">
        <f>IFERROR(INDEX('Usage Detail'!$D:$D,AGGREGATE(15,6,ROW('Usage Detail'!$A$5:$A$204)/(('Usage Detail'!$B$5:$B$204="Tasting")+('Usage Detail'!$B$5:$B$204="Promotional")),ROW(A61))),"")</f>
        <v/>
      </c>
      <c r="E69" s="4">
        <f>IFERROR(INDEX('Usage Detail'!$E:$E,AGGREGATE(15,6,ROW('Usage Detail'!$A$5:$A$204)/(('Usage Detail'!$B$5:$B$204="Tasting")+('Usage Detail'!$B$5:$B$204="Promotional")),ROW(A61))),"")</f>
        <v/>
      </c>
      <c r="F69" s="4">
        <f>IFERROR(INDEX('Usage Detail'!$F:$F,AGGREGATE(15,6,ROW('Usage Detail'!$A$5:$A$204)/(('Usage Detail'!$B$5:$B$204="Tasting")+('Usage Detail'!$B$5:$B$204="Promotional")),ROW(A61))),"")</f>
        <v/>
      </c>
      <c r="G69" s="4">
        <f>IFERROR(INDEX('Usage Detail'!$G:$G,AGGREGATE(15,6,ROW('Usage Detail'!$A$5:$A$204)/(('Usage Detail'!$B$5:$B$204="Tasting")+('Usage Detail'!$B$5:$B$204="Promotional")),ROW(A61))),"")</f>
        <v/>
      </c>
      <c r="H69" s="4">
        <f>IFERROR(INDEX('Usage Detail'!$H:$H,AGGREGATE(15,6,ROW('Usage Detail'!$A$5:$A$204)/(('Usage Detail'!$B$5:$B$204="Tasting")+('Usage Detail'!$B$5:$B$204="Promotional")),ROW(A61))),"")</f>
        <v/>
      </c>
    </row>
    <row r="70">
      <c r="A70" s="3">
        <f>IFERROR(INDEX('Usage Detail'!$A:$A,AGGREGATE(15,6,ROW('Usage Detail'!$A$5:$A$204)/(('Usage Detail'!$B$5:$B$204="Tasting")+('Usage Detail'!$B$5:$B$204="Promotional")),ROW(A62))),"")</f>
        <v/>
      </c>
      <c r="B70" s="3">
        <f>IFERROR(INDEX('Usage Detail'!$B:$B,AGGREGATE(15,6,ROW('Usage Detail'!$A$5:$A$204)/(('Usage Detail'!$B$5:$B$204="Tasting")+('Usage Detail'!$B$5:$B$204="Promotional")),ROW(A62))),"")</f>
        <v/>
      </c>
      <c r="C70" s="3">
        <f>IFERROR(INDEX('Usage Detail'!$C:$C,AGGREGATE(15,6,ROW('Usage Detail'!$A$5:$A$204)/(('Usage Detail'!$B$5:$B$204="Tasting")+('Usage Detail'!$B$5:$B$204="Promotional")),ROW(A62))),"")</f>
        <v/>
      </c>
      <c r="D70" s="3">
        <f>IFERROR(INDEX('Usage Detail'!$D:$D,AGGREGATE(15,6,ROW('Usage Detail'!$A$5:$A$204)/(('Usage Detail'!$B$5:$B$204="Tasting")+('Usage Detail'!$B$5:$B$204="Promotional")),ROW(A62))),"")</f>
        <v/>
      </c>
      <c r="E70" s="4">
        <f>IFERROR(INDEX('Usage Detail'!$E:$E,AGGREGATE(15,6,ROW('Usage Detail'!$A$5:$A$204)/(('Usage Detail'!$B$5:$B$204="Tasting")+('Usage Detail'!$B$5:$B$204="Promotional")),ROW(A62))),"")</f>
        <v/>
      </c>
      <c r="F70" s="4">
        <f>IFERROR(INDEX('Usage Detail'!$F:$F,AGGREGATE(15,6,ROW('Usage Detail'!$A$5:$A$204)/(('Usage Detail'!$B$5:$B$204="Tasting")+('Usage Detail'!$B$5:$B$204="Promotional")),ROW(A62))),"")</f>
        <v/>
      </c>
      <c r="G70" s="4">
        <f>IFERROR(INDEX('Usage Detail'!$G:$G,AGGREGATE(15,6,ROW('Usage Detail'!$A$5:$A$204)/(('Usage Detail'!$B$5:$B$204="Tasting")+('Usage Detail'!$B$5:$B$204="Promotional")),ROW(A62))),"")</f>
        <v/>
      </c>
      <c r="H70" s="4">
        <f>IFERROR(INDEX('Usage Detail'!$H:$H,AGGREGATE(15,6,ROW('Usage Detail'!$A$5:$A$204)/(('Usage Detail'!$B$5:$B$204="Tasting")+('Usage Detail'!$B$5:$B$204="Promotional")),ROW(A62))),"")</f>
        <v/>
      </c>
    </row>
    <row r="71">
      <c r="A71" s="3">
        <f>IFERROR(INDEX('Usage Detail'!$A:$A,AGGREGATE(15,6,ROW('Usage Detail'!$A$5:$A$204)/(('Usage Detail'!$B$5:$B$204="Tasting")+('Usage Detail'!$B$5:$B$204="Promotional")),ROW(A63))),"")</f>
        <v/>
      </c>
      <c r="B71" s="3">
        <f>IFERROR(INDEX('Usage Detail'!$B:$B,AGGREGATE(15,6,ROW('Usage Detail'!$A$5:$A$204)/(('Usage Detail'!$B$5:$B$204="Tasting")+('Usage Detail'!$B$5:$B$204="Promotional")),ROW(A63))),"")</f>
        <v/>
      </c>
      <c r="C71" s="3">
        <f>IFERROR(INDEX('Usage Detail'!$C:$C,AGGREGATE(15,6,ROW('Usage Detail'!$A$5:$A$204)/(('Usage Detail'!$B$5:$B$204="Tasting")+('Usage Detail'!$B$5:$B$204="Promotional")),ROW(A63))),"")</f>
        <v/>
      </c>
      <c r="D71" s="3">
        <f>IFERROR(INDEX('Usage Detail'!$D:$D,AGGREGATE(15,6,ROW('Usage Detail'!$A$5:$A$204)/(('Usage Detail'!$B$5:$B$204="Tasting")+('Usage Detail'!$B$5:$B$204="Promotional")),ROW(A63))),"")</f>
        <v/>
      </c>
      <c r="E71" s="4">
        <f>IFERROR(INDEX('Usage Detail'!$E:$E,AGGREGATE(15,6,ROW('Usage Detail'!$A$5:$A$204)/(('Usage Detail'!$B$5:$B$204="Tasting")+('Usage Detail'!$B$5:$B$204="Promotional")),ROW(A63))),"")</f>
        <v/>
      </c>
      <c r="F71" s="4">
        <f>IFERROR(INDEX('Usage Detail'!$F:$F,AGGREGATE(15,6,ROW('Usage Detail'!$A$5:$A$204)/(('Usage Detail'!$B$5:$B$204="Tasting")+('Usage Detail'!$B$5:$B$204="Promotional")),ROW(A63))),"")</f>
        <v/>
      </c>
      <c r="G71" s="4">
        <f>IFERROR(INDEX('Usage Detail'!$G:$G,AGGREGATE(15,6,ROW('Usage Detail'!$A$5:$A$204)/(('Usage Detail'!$B$5:$B$204="Tasting")+('Usage Detail'!$B$5:$B$204="Promotional")),ROW(A63))),"")</f>
        <v/>
      </c>
      <c r="H71" s="4">
        <f>IFERROR(INDEX('Usage Detail'!$H:$H,AGGREGATE(15,6,ROW('Usage Detail'!$A$5:$A$204)/(('Usage Detail'!$B$5:$B$204="Tasting")+('Usage Detail'!$B$5:$B$204="Promotional")),ROW(A63))),"")</f>
        <v/>
      </c>
    </row>
    <row r="72">
      <c r="A72" s="3">
        <f>IFERROR(INDEX('Usage Detail'!$A:$A,AGGREGATE(15,6,ROW('Usage Detail'!$A$5:$A$204)/(('Usage Detail'!$B$5:$B$204="Tasting")+('Usage Detail'!$B$5:$B$204="Promotional")),ROW(A64))),"")</f>
        <v/>
      </c>
      <c r="B72" s="3">
        <f>IFERROR(INDEX('Usage Detail'!$B:$B,AGGREGATE(15,6,ROW('Usage Detail'!$A$5:$A$204)/(('Usage Detail'!$B$5:$B$204="Tasting")+('Usage Detail'!$B$5:$B$204="Promotional")),ROW(A64))),"")</f>
        <v/>
      </c>
      <c r="C72" s="3">
        <f>IFERROR(INDEX('Usage Detail'!$C:$C,AGGREGATE(15,6,ROW('Usage Detail'!$A$5:$A$204)/(('Usage Detail'!$B$5:$B$204="Tasting")+('Usage Detail'!$B$5:$B$204="Promotional")),ROW(A64))),"")</f>
        <v/>
      </c>
      <c r="D72" s="3">
        <f>IFERROR(INDEX('Usage Detail'!$D:$D,AGGREGATE(15,6,ROW('Usage Detail'!$A$5:$A$204)/(('Usage Detail'!$B$5:$B$204="Tasting")+('Usage Detail'!$B$5:$B$204="Promotional")),ROW(A64))),"")</f>
        <v/>
      </c>
      <c r="E72" s="4">
        <f>IFERROR(INDEX('Usage Detail'!$E:$E,AGGREGATE(15,6,ROW('Usage Detail'!$A$5:$A$204)/(('Usage Detail'!$B$5:$B$204="Tasting")+('Usage Detail'!$B$5:$B$204="Promotional")),ROW(A64))),"")</f>
        <v/>
      </c>
      <c r="F72" s="4">
        <f>IFERROR(INDEX('Usage Detail'!$F:$F,AGGREGATE(15,6,ROW('Usage Detail'!$A$5:$A$204)/(('Usage Detail'!$B$5:$B$204="Tasting")+('Usage Detail'!$B$5:$B$204="Promotional")),ROW(A64))),"")</f>
        <v/>
      </c>
      <c r="G72" s="4">
        <f>IFERROR(INDEX('Usage Detail'!$G:$G,AGGREGATE(15,6,ROW('Usage Detail'!$A$5:$A$204)/(('Usage Detail'!$B$5:$B$204="Tasting")+('Usage Detail'!$B$5:$B$204="Promotional")),ROW(A64))),"")</f>
        <v/>
      </c>
      <c r="H72" s="4">
        <f>IFERROR(INDEX('Usage Detail'!$H:$H,AGGREGATE(15,6,ROW('Usage Detail'!$A$5:$A$204)/(('Usage Detail'!$B$5:$B$204="Tasting")+('Usage Detail'!$B$5:$B$204="Promotional")),ROW(A64))),"")</f>
        <v/>
      </c>
    </row>
    <row r="73">
      <c r="A73" s="3">
        <f>IFERROR(INDEX('Usage Detail'!$A:$A,AGGREGATE(15,6,ROW('Usage Detail'!$A$5:$A$204)/(('Usage Detail'!$B$5:$B$204="Tasting")+('Usage Detail'!$B$5:$B$204="Promotional")),ROW(A65))),"")</f>
        <v/>
      </c>
      <c r="B73" s="3">
        <f>IFERROR(INDEX('Usage Detail'!$B:$B,AGGREGATE(15,6,ROW('Usage Detail'!$A$5:$A$204)/(('Usage Detail'!$B$5:$B$204="Tasting")+('Usage Detail'!$B$5:$B$204="Promotional")),ROW(A65))),"")</f>
        <v/>
      </c>
      <c r="C73" s="3">
        <f>IFERROR(INDEX('Usage Detail'!$C:$C,AGGREGATE(15,6,ROW('Usage Detail'!$A$5:$A$204)/(('Usage Detail'!$B$5:$B$204="Tasting")+('Usage Detail'!$B$5:$B$204="Promotional")),ROW(A65))),"")</f>
        <v/>
      </c>
      <c r="D73" s="3">
        <f>IFERROR(INDEX('Usage Detail'!$D:$D,AGGREGATE(15,6,ROW('Usage Detail'!$A$5:$A$204)/(('Usage Detail'!$B$5:$B$204="Tasting")+('Usage Detail'!$B$5:$B$204="Promotional")),ROW(A65))),"")</f>
        <v/>
      </c>
      <c r="E73" s="4">
        <f>IFERROR(INDEX('Usage Detail'!$E:$E,AGGREGATE(15,6,ROW('Usage Detail'!$A$5:$A$204)/(('Usage Detail'!$B$5:$B$204="Tasting")+('Usage Detail'!$B$5:$B$204="Promotional")),ROW(A65))),"")</f>
        <v/>
      </c>
      <c r="F73" s="4">
        <f>IFERROR(INDEX('Usage Detail'!$F:$F,AGGREGATE(15,6,ROW('Usage Detail'!$A$5:$A$204)/(('Usage Detail'!$B$5:$B$204="Tasting")+('Usage Detail'!$B$5:$B$204="Promotional")),ROW(A65))),"")</f>
        <v/>
      </c>
      <c r="G73" s="4">
        <f>IFERROR(INDEX('Usage Detail'!$G:$G,AGGREGATE(15,6,ROW('Usage Detail'!$A$5:$A$204)/(('Usage Detail'!$B$5:$B$204="Tasting")+('Usage Detail'!$B$5:$B$204="Promotional")),ROW(A65))),"")</f>
        <v/>
      </c>
      <c r="H73" s="4">
        <f>IFERROR(INDEX('Usage Detail'!$H:$H,AGGREGATE(15,6,ROW('Usage Detail'!$A$5:$A$204)/(('Usage Detail'!$B$5:$B$204="Tasting")+('Usage Detail'!$B$5:$B$204="Promotional")),ROW(A65))),"")</f>
        <v/>
      </c>
    </row>
    <row r="74">
      <c r="A74" s="3">
        <f>IFERROR(INDEX('Usage Detail'!$A:$A,AGGREGATE(15,6,ROW('Usage Detail'!$A$5:$A$204)/(('Usage Detail'!$B$5:$B$204="Tasting")+('Usage Detail'!$B$5:$B$204="Promotional")),ROW(A66))),"")</f>
        <v/>
      </c>
      <c r="B74" s="3">
        <f>IFERROR(INDEX('Usage Detail'!$B:$B,AGGREGATE(15,6,ROW('Usage Detail'!$A$5:$A$204)/(('Usage Detail'!$B$5:$B$204="Tasting")+('Usage Detail'!$B$5:$B$204="Promotional")),ROW(A66))),"")</f>
        <v/>
      </c>
      <c r="C74" s="3">
        <f>IFERROR(INDEX('Usage Detail'!$C:$C,AGGREGATE(15,6,ROW('Usage Detail'!$A$5:$A$204)/(('Usage Detail'!$B$5:$B$204="Tasting")+('Usage Detail'!$B$5:$B$204="Promotional")),ROW(A66))),"")</f>
        <v/>
      </c>
      <c r="D74" s="3">
        <f>IFERROR(INDEX('Usage Detail'!$D:$D,AGGREGATE(15,6,ROW('Usage Detail'!$A$5:$A$204)/(('Usage Detail'!$B$5:$B$204="Tasting")+('Usage Detail'!$B$5:$B$204="Promotional")),ROW(A66))),"")</f>
        <v/>
      </c>
      <c r="E74" s="4">
        <f>IFERROR(INDEX('Usage Detail'!$E:$E,AGGREGATE(15,6,ROW('Usage Detail'!$A$5:$A$204)/(('Usage Detail'!$B$5:$B$204="Tasting")+('Usage Detail'!$B$5:$B$204="Promotional")),ROW(A66))),"")</f>
        <v/>
      </c>
      <c r="F74" s="4">
        <f>IFERROR(INDEX('Usage Detail'!$F:$F,AGGREGATE(15,6,ROW('Usage Detail'!$A$5:$A$204)/(('Usage Detail'!$B$5:$B$204="Tasting")+('Usage Detail'!$B$5:$B$204="Promotional")),ROW(A66))),"")</f>
        <v/>
      </c>
      <c r="G74" s="4">
        <f>IFERROR(INDEX('Usage Detail'!$G:$G,AGGREGATE(15,6,ROW('Usage Detail'!$A$5:$A$204)/(('Usage Detail'!$B$5:$B$204="Tasting")+('Usage Detail'!$B$5:$B$204="Promotional")),ROW(A66))),"")</f>
        <v/>
      </c>
      <c r="H74" s="4">
        <f>IFERROR(INDEX('Usage Detail'!$H:$H,AGGREGATE(15,6,ROW('Usage Detail'!$A$5:$A$204)/(('Usage Detail'!$B$5:$B$204="Tasting")+('Usage Detail'!$B$5:$B$204="Promotional")),ROW(A66))),"")</f>
        <v/>
      </c>
    </row>
    <row r="75">
      <c r="A75" s="3">
        <f>IFERROR(INDEX('Usage Detail'!$A:$A,AGGREGATE(15,6,ROW('Usage Detail'!$A$5:$A$204)/(('Usage Detail'!$B$5:$B$204="Tasting")+('Usage Detail'!$B$5:$B$204="Promotional")),ROW(A67))),"")</f>
        <v/>
      </c>
      <c r="B75" s="3">
        <f>IFERROR(INDEX('Usage Detail'!$B:$B,AGGREGATE(15,6,ROW('Usage Detail'!$A$5:$A$204)/(('Usage Detail'!$B$5:$B$204="Tasting")+('Usage Detail'!$B$5:$B$204="Promotional")),ROW(A67))),"")</f>
        <v/>
      </c>
      <c r="C75" s="3">
        <f>IFERROR(INDEX('Usage Detail'!$C:$C,AGGREGATE(15,6,ROW('Usage Detail'!$A$5:$A$204)/(('Usage Detail'!$B$5:$B$204="Tasting")+('Usage Detail'!$B$5:$B$204="Promotional")),ROW(A67))),"")</f>
        <v/>
      </c>
      <c r="D75" s="3">
        <f>IFERROR(INDEX('Usage Detail'!$D:$D,AGGREGATE(15,6,ROW('Usage Detail'!$A$5:$A$204)/(('Usage Detail'!$B$5:$B$204="Tasting")+('Usage Detail'!$B$5:$B$204="Promotional")),ROW(A67))),"")</f>
        <v/>
      </c>
      <c r="E75" s="4">
        <f>IFERROR(INDEX('Usage Detail'!$E:$E,AGGREGATE(15,6,ROW('Usage Detail'!$A$5:$A$204)/(('Usage Detail'!$B$5:$B$204="Tasting")+('Usage Detail'!$B$5:$B$204="Promotional")),ROW(A67))),"")</f>
        <v/>
      </c>
      <c r="F75" s="4">
        <f>IFERROR(INDEX('Usage Detail'!$F:$F,AGGREGATE(15,6,ROW('Usage Detail'!$A$5:$A$204)/(('Usage Detail'!$B$5:$B$204="Tasting")+('Usage Detail'!$B$5:$B$204="Promotional")),ROW(A67))),"")</f>
        <v/>
      </c>
      <c r="G75" s="4">
        <f>IFERROR(INDEX('Usage Detail'!$G:$G,AGGREGATE(15,6,ROW('Usage Detail'!$A$5:$A$204)/(('Usage Detail'!$B$5:$B$204="Tasting")+('Usage Detail'!$B$5:$B$204="Promotional")),ROW(A67))),"")</f>
        <v/>
      </c>
      <c r="H75" s="4">
        <f>IFERROR(INDEX('Usage Detail'!$H:$H,AGGREGATE(15,6,ROW('Usage Detail'!$A$5:$A$204)/(('Usage Detail'!$B$5:$B$204="Tasting")+('Usage Detail'!$B$5:$B$204="Promotional")),ROW(A67))),"")</f>
        <v/>
      </c>
    </row>
    <row r="76">
      <c r="A76" s="3">
        <f>IFERROR(INDEX('Usage Detail'!$A:$A,AGGREGATE(15,6,ROW('Usage Detail'!$A$5:$A$204)/(('Usage Detail'!$B$5:$B$204="Tasting")+('Usage Detail'!$B$5:$B$204="Promotional")),ROW(A68))),"")</f>
        <v/>
      </c>
      <c r="B76" s="3">
        <f>IFERROR(INDEX('Usage Detail'!$B:$B,AGGREGATE(15,6,ROW('Usage Detail'!$A$5:$A$204)/(('Usage Detail'!$B$5:$B$204="Tasting")+('Usage Detail'!$B$5:$B$204="Promotional")),ROW(A68))),"")</f>
        <v/>
      </c>
      <c r="C76" s="3">
        <f>IFERROR(INDEX('Usage Detail'!$C:$C,AGGREGATE(15,6,ROW('Usage Detail'!$A$5:$A$204)/(('Usage Detail'!$B$5:$B$204="Tasting")+('Usage Detail'!$B$5:$B$204="Promotional")),ROW(A68))),"")</f>
        <v/>
      </c>
      <c r="D76" s="3">
        <f>IFERROR(INDEX('Usage Detail'!$D:$D,AGGREGATE(15,6,ROW('Usage Detail'!$A$5:$A$204)/(('Usage Detail'!$B$5:$B$204="Tasting")+('Usage Detail'!$B$5:$B$204="Promotional")),ROW(A68))),"")</f>
        <v/>
      </c>
      <c r="E76" s="4">
        <f>IFERROR(INDEX('Usage Detail'!$E:$E,AGGREGATE(15,6,ROW('Usage Detail'!$A$5:$A$204)/(('Usage Detail'!$B$5:$B$204="Tasting")+('Usage Detail'!$B$5:$B$204="Promotional")),ROW(A68))),"")</f>
        <v/>
      </c>
      <c r="F76" s="4">
        <f>IFERROR(INDEX('Usage Detail'!$F:$F,AGGREGATE(15,6,ROW('Usage Detail'!$A$5:$A$204)/(('Usage Detail'!$B$5:$B$204="Tasting")+('Usage Detail'!$B$5:$B$204="Promotional")),ROW(A68))),"")</f>
        <v/>
      </c>
      <c r="G76" s="4">
        <f>IFERROR(INDEX('Usage Detail'!$G:$G,AGGREGATE(15,6,ROW('Usage Detail'!$A$5:$A$204)/(('Usage Detail'!$B$5:$B$204="Tasting")+('Usage Detail'!$B$5:$B$204="Promotional")),ROW(A68))),"")</f>
        <v/>
      </c>
      <c r="H76" s="4">
        <f>IFERROR(INDEX('Usage Detail'!$H:$H,AGGREGATE(15,6,ROW('Usage Detail'!$A$5:$A$204)/(('Usage Detail'!$B$5:$B$204="Tasting")+('Usage Detail'!$B$5:$B$204="Promotional")),ROW(A68))),"")</f>
        <v/>
      </c>
    </row>
    <row r="77">
      <c r="A77" s="3">
        <f>IFERROR(INDEX('Usage Detail'!$A:$A,AGGREGATE(15,6,ROW('Usage Detail'!$A$5:$A$204)/(('Usage Detail'!$B$5:$B$204="Tasting")+('Usage Detail'!$B$5:$B$204="Promotional")),ROW(A69))),"")</f>
        <v/>
      </c>
      <c r="B77" s="3">
        <f>IFERROR(INDEX('Usage Detail'!$B:$B,AGGREGATE(15,6,ROW('Usage Detail'!$A$5:$A$204)/(('Usage Detail'!$B$5:$B$204="Tasting")+('Usage Detail'!$B$5:$B$204="Promotional")),ROW(A69))),"")</f>
        <v/>
      </c>
      <c r="C77" s="3">
        <f>IFERROR(INDEX('Usage Detail'!$C:$C,AGGREGATE(15,6,ROW('Usage Detail'!$A$5:$A$204)/(('Usage Detail'!$B$5:$B$204="Tasting")+('Usage Detail'!$B$5:$B$204="Promotional")),ROW(A69))),"")</f>
        <v/>
      </c>
      <c r="D77" s="3">
        <f>IFERROR(INDEX('Usage Detail'!$D:$D,AGGREGATE(15,6,ROW('Usage Detail'!$A$5:$A$204)/(('Usage Detail'!$B$5:$B$204="Tasting")+('Usage Detail'!$B$5:$B$204="Promotional")),ROW(A69))),"")</f>
        <v/>
      </c>
      <c r="E77" s="4">
        <f>IFERROR(INDEX('Usage Detail'!$E:$E,AGGREGATE(15,6,ROW('Usage Detail'!$A$5:$A$204)/(('Usage Detail'!$B$5:$B$204="Tasting")+('Usage Detail'!$B$5:$B$204="Promotional")),ROW(A69))),"")</f>
        <v/>
      </c>
      <c r="F77" s="4">
        <f>IFERROR(INDEX('Usage Detail'!$F:$F,AGGREGATE(15,6,ROW('Usage Detail'!$A$5:$A$204)/(('Usage Detail'!$B$5:$B$204="Tasting")+('Usage Detail'!$B$5:$B$204="Promotional")),ROW(A69))),"")</f>
        <v/>
      </c>
      <c r="G77" s="4">
        <f>IFERROR(INDEX('Usage Detail'!$G:$G,AGGREGATE(15,6,ROW('Usage Detail'!$A$5:$A$204)/(('Usage Detail'!$B$5:$B$204="Tasting")+('Usage Detail'!$B$5:$B$204="Promotional")),ROW(A69))),"")</f>
        <v/>
      </c>
      <c r="H77" s="4">
        <f>IFERROR(INDEX('Usage Detail'!$H:$H,AGGREGATE(15,6,ROW('Usage Detail'!$A$5:$A$204)/(('Usage Detail'!$B$5:$B$204="Tasting")+('Usage Detail'!$B$5:$B$204="Promotional")),ROW(A69))),"")</f>
        <v/>
      </c>
    </row>
    <row r="78">
      <c r="A78" s="3">
        <f>IFERROR(INDEX('Usage Detail'!$A:$A,AGGREGATE(15,6,ROW('Usage Detail'!$A$5:$A$204)/(('Usage Detail'!$B$5:$B$204="Tasting")+('Usage Detail'!$B$5:$B$204="Promotional")),ROW(A70))),"")</f>
        <v/>
      </c>
      <c r="B78" s="3">
        <f>IFERROR(INDEX('Usage Detail'!$B:$B,AGGREGATE(15,6,ROW('Usage Detail'!$A$5:$A$204)/(('Usage Detail'!$B$5:$B$204="Tasting")+('Usage Detail'!$B$5:$B$204="Promotional")),ROW(A70))),"")</f>
        <v/>
      </c>
      <c r="C78" s="3">
        <f>IFERROR(INDEX('Usage Detail'!$C:$C,AGGREGATE(15,6,ROW('Usage Detail'!$A$5:$A$204)/(('Usage Detail'!$B$5:$B$204="Tasting")+('Usage Detail'!$B$5:$B$204="Promotional")),ROW(A70))),"")</f>
        <v/>
      </c>
      <c r="D78" s="3">
        <f>IFERROR(INDEX('Usage Detail'!$D:$D,AGGREGATE(15,6,ROW('Usage Detail'!$A$5:$A$204)/(('Usage Detail'!$B$5:$B$204="Tasting")+('Usage Detail'!$B$5:$B$204="Promotional")),ROW(A70))),"")</f>
        <v/>
      </c>
      <c r="E78" s="4">
        <f>IFERROR(INDEX('Usage Detail'!$E:$E,AGGREGATE(15,6,ROW('Usage Detail'!$A$5:$A$204)/(('Usage Detail'!$B$5:$B$204="Tasting")+('Usage Detail'!$B$5:$B$204="Promotional")),ROW(A70))),"")</f>
        <v/>
      </c>
      <c r="F78" s="4">
        <f>IFERROR(INDEX('Usage Detail'!$F:$F,AGGREGATE(15,6,ROW('Usage Detail'!$A$5:$A$204)/(('Usage Detail'!$B$5:$B$204="Tasting")+('Usage Detail'!$B$5:$B$204="Promotional")),ROW(A70))),"")</f>
        <v/>
      </c>
      <c r="G78" s="4">
        <f>IFERROR(INDEX('Usage Detail'!$G:$G,AGGREGATE(15,6,ROW('Usage Detail'!$A$5:$A$204)/(('Usage Detail'!$B$5:$B$204="Tasting")+('Usage Detail'!$B$5:$B$204="Promotional")),ROW(A70))),"")</f>
        <v/>
      </c>
      <c r="H78" s="4">
        <f>IFERROR(INDEX('Usage Detail'!$H:$H,AGGREGATE(15,6,ROW('Usage Detail'!$A$5:$A$204)/(('Usage Detail'!$B$5:$B$204="Tasting")+('Usage Detail'!$B$5:$B$204="Promotional")),ROW(A70))),"")</f>
        <v/>
      </c>
    </row>
    <row r="79">
      <c r="A79" s="3">
        <f>IFERROR(INDEX('Usage Detail'!$A:$A,AGGREGATE(15,6,ROW('Usage Detail'!$A$5:$A$204)/(('Usage Detail'!$B$5:$B$204="Tasting")+('Usage Detail'!$B$5:$B$204="Promotional")),ROW(A71))),"")</f>
        <v/>
      </c>
      <c r="B79" s="3">
        <f>IFERROR(INDEX('Usage Detail'!$B:$B,AGGREGATE(15,6,ROW('Usage Detail'!$A$5:$A$204)/(('Usage Detail'!$B$5:$B$204="Tasting")+('Usage Detail'!$B$5:$B$204="Promotional")),ROW(A71))),"")</f>
        <v/>
      </c>
      <c r="C79" s="3">
        <f>IFERROR(INDEX('Usage Detail'!$C:$C,AGGREGATE(15,6,ROW('Usage Detail'!$A$5:$A$204)/(('Usage Detail'!$B$5:$B$204="Tasting")+('Usage Detail'!$B$5:$B$204="Promotional")),ROW(A71))),"")</f>
        <v/>
      </c>
      <c r="D79" s="3">
        <f>IFERROR(INDEX('Usage Detail'!$D:$D,AGGREGATE(15,6,ROW('Usage Detail'!$A$5:$A$204)/(('Usage Detail'!$B$5:$B$204="Tasting")+('Usage Detail'!$B$5:$B$204="Promotional")),ROW(A71))),"")</f>
        <v/>
      </c>
      <c r="E79" s="4">
        <f>IFERROR(INDEX('Usage Detail'!$E:$E,AGGREGATE(15,6,ROW('Usage Detail'!$A$5:$A$204)/(('Usage Detail'!$B$5:$B$204="Tasting")+('Usage Detail'!$B$5:$B$204="Promotional")),ROW(A71))),"")</f>
        <v/>
      </c>
      <c r="F79" s="4">
        <f>IFERROR(INDEX('Usage Detail'!$F:$F,AGGREGATE(15,6,ROW('Usage Detail'!$A$5:$A$204)/(('Usage Detail'!$B$5:$B$204="Tasting")+('Usage Detail'!$B$5:$B$204="Promotional")),ROW(A71))),"")</f>
        <v/>
      </c>
      <c r="G79" s="4">
        <f>IFERROR(INDEX('Usage Detail'!$G:$G,AGGREGATE(15,6,ROW('Usage Detail'!$A$5:$A$204)/(('Usage Detail'!$B$5:$B$204="Tasting")+('Usage Detail'!$B$5:$B$204="Promotional")),ROW(A71))),"")</f>
        <v/>
      </c>
      <c r="H79" s="4">
        <f>IFERROR(INDEX('Usage Detail'!$H:$H,AGGREGATE(15,6,ROW('Usage Detail'!$A$5:$A$204)/(('Usage Detail'!$B$5:$B$204="Tasting")+('Usage Detail'!$B$5:$B$204="Promotional")),ROW(A71))),"")</f>
        <v/>
      </c>
    </row>
    <row r="80">
      <c r="A80" s="3">
        <f>IFERROR(INDEX('Usage Detail'!$A:$A,AGGREGATE(15,6,ROW('Usage Detail'!$A$5:$A$204)/(('Usage Detail'!$B$5:$B$204="Tasting")+('Usage Detail'!$B$5:$B$204="Promotional")),ROW(A72))),"")</f>
        <v/>
      </c>
      <c r="B80" s="3">
        <f>IFERROR(INDEX('Usage Detail'!$B:$B,AGGREGATE(15,6,ROW('Usage Detail'!$A$5:$A$204)/(('Usage Detail'!$B$5:$B$204="Tasting")+('Usage Detail'!$B$5:$B$204="Promotional")),ROW(A72))),"")</f>
        <v/>
      </c>
      <c r="C80" s="3">
        <f>IFERROR(INDEX('Usage Detail'!$C:$C,AGGREGATE(15,6,ROW('Usage Detail'!$A$5:$A$204)/(('Usage Detail'!$B$5:$B$204="Tasting")+('Usage Detail'!$B$5:$B$204="Promotional")),ROW(A72))),"")</f>
        <v/>
      </c>
      <c r="D80" s="3">
        <f>IFERROR(INDEX('Usage Detail'!$D:$D,AGGREGATE(15,6,ROW('Usage Detail'!$A$5:$A$204)/(('Usage Detail'!$B$5:$B$204="Tasting")+('Usage Detail'!$B$5:$B$204="Promotional")),ROW(A72))),"")</f>
        <v/>
      </c>
      <c r="E80" s="4">
        <f>IFERROR(INDEX('Usage Detail'!$E:$E,AGGREGATE(15,6,ROW('Usage Detail'!$A$5:$A$204)/(('Usage Detail'!$B$5:$B$204="Tasting")+('Usage Detail'!$B$5:$B$204="Promotional")),ROW(A72))),"")</f>
        <v/>
      </c>
      <c r="F80" s="4">
        <f>IFERROR(INDEX('Usage Detail'!$F:$F,AGGREGATE(15,6,ROW('Usage Detail'!$A$5:$A$204)/(('Usage Detail'!$B$5:$B$204="Tasting")+('Usage Detail'!$B$5:$B$204="Promotional")),ROW(A72))),"")</f>
        <v/>
      </c>
      <c r="G80" s="4">
        <f>IFERROR(INDEX('Usage Detail'!$G:$G,AGGREGATE(15,6,ROW('Usage Detail'!$A$5:$A$204)/(('Usage Detail'!$B$5:$B$204="Tasting")+('Usage Detail'!$B$5:$B$204="Promotional")),ROW(A72))),"")</f>
        <v/>
      </c>
      <c r="H80" s="4">
        <f>IFERROR(INDEX('Usage Detail'!$H:$H,AGGREGATE(15,6,ROW('Usage Detail'!$A$5:$A$204)/(('Usage Detail'!$B$5:$B$204="Tasting")+('Usage Detail'!$B$5:$B$204="Promotional")),ROW(A72))),"")</f>
        <v/>
      </c>
    </row>
    <row r="81">
      <c r="A81" s="3">
        <f>IFERROR(INDEX('Usage Detail'!$A:$A,AGGREGATE(15,6,ROW('Usage Detail'!$A$5:$A$204)/(('Usage Detail'!$B$5:$B$204="Tasting")+('Usage Detail'!$B$5:$B$204="Promotional")),ROW(A73))),"")</f>
        <v/>
      </c>
      <c r="B81" s="3">
        <f>IFERROR(INDEX('Usage Detail'!$B:$B,AGGREGATE(15,6,ROW('Usage Detail'!$A$5:$A$204)/(('Usage Detail'!$B$5:$B$204="Tasting")+('Usage Detail'!$B$5:$B$204="Promotional")),ROW(A73))),"")</f>
        <v/>
      </c>
      <c r="C81" s="3">
        <f>IFERROR(INDEX('Usage Detail'!$C:$C,AGGREGATE(15,6,ROW('Usage Detail'!$A$5:$A$204)/(('Usage Detail'!$B$5:$B$204="Tasting")+('Usage Detail'!$B$5:$B$204="Promotional")),ROW(A73))),"")</f>
        <v/>
      </c>
      <c r="D81" s="3">
        <f>IFERROR(INDEX('Usage Detail'!$D:$D,AGGREGATE(15,6,ROW('Usage Detail'!$A$5:$A$204)/(('Usage Detail'!$B$5:$B$204="Tasting")+('Usage Detail'!$B$5:$B$204="Promotional")),ROW(A73))),"")</f>
        <v/>
      </c>
      <c r="E81" s="4">
        <f>IFERROR(INDEX('Usage Detail'!$E:$E,AGGREGATE(15,6,ROW('Usage Detail'!$A$5:$A$204)/(('Usage Detail'!$B$5:$B$204="Tasting")+('Usage Detail'!$B$5:$B$204="Promotional")),ROW(A73))),"")</f>
        <v/>
      </c>
      <c r="F81" s="4">
        <f>IFERROR(INDEX('Usage Detail'!$F:$F,AGGREGATE(15,6,ROW('Usage Detail'!$A$5:$A$204)/(('Usage Detail'!$B$5:$B$204="Tasting")+('Usage Detail'!$B$5:$B$204="Promotional")),ROW(A73))),"")</f>
        <v/>
      </c>
      <c r="G81" s="4">
        <f>IFERROR(INDEX('Usage Detail'!$G:$G,AGGREGATE(15,6,ROW('Usage Detail'!$A$5:$A$204)/(('Usage Detail'!$B$5:$B$204="Tasting")+('Usage Detail'!$B$5:$B$204="Promotional")),ROW(A73))),"")</f>
        <v/>
      </c>
      <c r="H81" s="4">
        <f>IFERROR(INDEX('Usage Detail'!$H:$H,AGGREGATE(15,6,ROW('Usage Detail'!$A$5:$A$204)/(('Usage Detail'!$B$5:$B$204="Tasting")+('Usage Detail'!$B$5:$B$204="Promotional")),ROW(A73))),"")</f>
        <v/>
      </c>
    </row>
    <row r="82">
      <c r="A82" s="3">
        <f>IFERROR(INDEX('Usage Detail'!$A:$A,AGGREGATE(15,6,ROW('Usage Detail'!$A$5:$A$204)/(('Usage Detail'!$B$5:$B$204="Tasting")+('Usage Detail'!$B$5:$B$204="Promotional")),ROW(A74))),"")</f>
        <v/>
      </c>
      <c r="B82" s="3">
        <f>IFERROR(INDEX('Usage Detail'!$B:$B,AGGREGATE(15,6,ROW('Usage Detail'!$A$5:$A$204)/(('Usage Detail'!$B$5:$B$204="Tasting")+('Usage Detail'!$B$5:$B$204="Promotional")),ROW(A74))),"")</f>
        <v/>
      </c>
      <c r="C82" s="3">
        <f>IFERROR(INDEX('Usage Detail'!$C:$C,AGGREGATE(15,6,ROW('Usage Detail'!$A$5:$A$204)/(('Usage Detail'!$B$5:$B$204="Tasting")+('Usage Detail'!$B$5:$B$204="Promotional")),ROW(A74))),"")</f>
        <v/>
      </c>
      <c r="D82" s="3">
        <f>IFERROR(INDEX('Usage Detail'!$D:$D,AGGREGATE(15,6,ROW('Usage Detail'!$A$5:$A$204)/(('Usage Detail'!$B$5:$B$204="Tasting")+('Usage Detail'!$B$5:$B$204="Promotional")),ROW(A74))),"")</f>
        <v/>
      </c>
      <c r="E82" s="4">
        <f>IFERROR(INDEX('Usage Detail'!$E:$E,AGGREGATE(15,6,ROW('Usage Detail'!$A$5:$A$204)/(('Usage Detail'!$B$5:$B$204="Tasting")+('Usage Detail'!$B$5:$B$204="Promotional")),ROW(A74))),"")</f>
        <v/>
      </c>
      <c r="F82" s="4">
        <f>IFERROR(INDEX('Usage Detail'!$F:$F,AGGREGATE(15,6,ROW('Usage Detail'!$A$5:$A$204)/(('Usage Detail'!$B$5:$B$204="Tasting")+('Usage Detail'!$B$5:$B$204="Promotional")),ROW(A74))),"")</f>
        <v/>
      </c>
      <c r="G82" s="4">
        <f>IFERROR(INDEX('Usage Detail'!$G:$G,AGGREGATE(15,6,ROW('Usage Detail'!$A$5:$A$204)/(('Usage Detail'!$B$5:$B$204="Tasting")+('Usage Detail'!$B$5:$B$204="Promotional")),ROW(A74))),"")</f>
        <v/>
      </c>
      <c r="H82" s="4">
        <f>IFERROR(INDEX('Usage Detail'!$H:$H,AGGREGATE(15,6,ROW('Usage Detail'!$A$5:$A$204)/(('Usage Detail'!$B$5:$B$204="Tasting")+('Usage Detail'!$B$5:$B$204="Promotional")),ROW(A74))),"")</f>
        <v/>
      </c>
    </row>
    <row r="83">
      <c r="A83" s="3">
        <f>IFERROR(INDEX('Usage Detail'!$A:$A,AGGREGATE(15,6,ROW('Usage Detail'!$A$5:$A$204)/(('Usage Detail'!$B$5:$B$204="Tasting")+('Usage Detail'!$B$5:$B$204="Promotional")),ROW(A75))),"")</f>
        <v/>
      </c>
      <c r="B83" s="3">
        <f>IFERROR(INDEX('Usage Detail'!$B:$B,AGGREGATE(15,6,ROW('Usage Detail'!$A$5:$A$204)/(('Usage Detail'!$B$5:$B$204="Tasting")+('Usage Detail'!$B$5:$B$204="Promotional")),ROW(A75))),"")</f>
        <v/>
      </c>
      <c r="C83" s="3">
        <f>IFERROR(INDEX('Usage Detail'!$C:$C,AGGREGATE(15,6,ROW('Usage Detail'!$A$5:$A$204)/(('Usage Detail'!$B$5:$B$204="Tasting")+('Usage Detail'!$B$5:$B$204="Promotional")),ROW(A75))),"")</f>
        <v/>
      </c>
      <c r="D83" s="3">
        <f>IFERROR(INDEX('Usage Detail'!$D:$D,AGGREGATE(15,6,ROW('Usage Detail'!$A$5:$A$204)/(('Usage Detail'!$B$5:$B$204="Tasting")+('Usage Detail'!$B$5:$B$204="Promotional")),ROW(A75))),"")</f>
        <v/>
      </c>
      <c r="E83" s="4">
        <f>IFERROR(INDEX('Usage Detail'!$E:$E,AGGREGATE(15,6,ROW('Usage Detail'!$A$5:$A$204)/(('Usage Detail'!$B$5:$B$204="Tasting")+('Usage Detail'!$B$5:$B$204="Promotional")),ROW(A75))),"")</f>
        <v/>
      </c>
      <c r="F83" s="4">
        <f>IFERROR(INDEX('Usage Detail'!$F:$F,AGGREGATE(15,6,ROW('Usage Detail'!$A$5:$A$204)/(('Usage Detail'!$B$5:$B$204="Tasting")+('Usage Detail'!$B$5:$B$204="Promotional")),ROW(A75))),"")</f>
        <v/>
      </c>
      <c r="G83" s="4">
        <f>IFERROR(INDEX('Usage Detail'!$G:$G,AGGREGATE(15,6,ROW('Usage Detail'!$A$5:$A$204)/(('Usage Detail'!$B$5:$B$204="Tasting")+('Usage Detail'!$B$5:$B$204="Promotional")),ROW(A75))),"")</f>
        <v/>
      </c>
      <c r="H83" s="4">
        <f>IFERROR(INDEX('Usage Detail'!$H:$H,AGGREGATE(15,6,ROW('Usage Detail'!$A$5:$A$204)/(('Usage Detail'!$B$5:$B$204="Tasting")+('Usage Detail'!$B$5:$B$204="Promotional")),ROW(A75))),"")</f>
        <v/>
      </c>
    </row>
    <row r="84">
      <c r="A84" s="3">
        <f>IFERROR(INDEX('Usage Detail'!$A:$A,AGGREGATE(15,6,ROW('Usage Detail'!$A$5:$A$204)/(('Usage Detail'!$B$5:$B$204="Tasting")+('Usage Detail'!$B$5:$B$204="Promotional")),ROW(A76))),"")</f>
        <v/>
      </c>
      <c r="B84" s="3">
        <f>IFERROR(INDEX('Usage Detail'!$B:$B,AGGREGATE(15,6,ROW('Usage Detail'!$A$5:$A$204)/(('Usage Detail'!$B$5:$B$204="Tasting")+('Usage Detail'!$B$5:$B$204="Promotional")),ROW(A76))),"")</f>
        <v/>
      </c>
      <c r="C84" s="3">
        <f>IFERROR(INDEX('Usage Detail'!$C:$C,AGGREGATE(15,6,ROW('Usage Detail'!$A$5:$A$204)/(('Usage Detail'!$B$5:$B$204="Tasting")+('Usage Detail'!$B$5:$B$204="Promotional")),ROW(A76))),"")</f>
        <v/>
      </c>
      <c r="D84" s="3">
        <f>IFERROR(INDEX('Usage Detail'!$D:$D,AGGREGATE(15,6,ROW('Usage Detail'!$A$5:$A$204)/(('Usage Detail'!$B$5:$B$204="Tasting")+('Usage Detail'!$B$5:$B$204="Promotional")),ROW(A76))),"")</f>
        <v/>
      </c>
      <c r="E84" s="4">
        <f>IFERROR(INDEX('Usage Detail'!$E:$E,AGGREGATE(15,6,ROW('Usage Detail'!$A$5:$A$204)/(('Usage Detail'!$B$5:$B$204="Tasting")+('Usage Detail'!$B$5:$B$204="Promotional")),ROW(A76))),"")</f>
        <v/>
      </c>
      <c r="F84" s="4">
        <f>IFERROR(INDEX('Usage Detail'!$F:$F,AGGREGATE(15,6,ROW('Usage Detail'!$A$5:$A$204)/(('Usage Detail'!$B$5:$B$204="Tasting")+('Usage Detail'!$B$5:$B$204="Promotional")),ROW(A76))),"")</f>
        <v/>
      </c>
      <c r="G84" s="4">
        <f>IFERROR(INDEX('Usage Detail'!$G:$G,AGGREGATE(15,6,ROW('Usage Detail'!$A$5:$A$204)/(('Usage Detail'!$B$5:$B$204="Tasting")+('Usage Detail'!$B$5:$B$204="Promotional")),ROW(A76))),"")</f>
        <v/>
      </c>
      <c r="H84" s="4">
        <f>IFERROR(INDEX('Usage Detail'!$H:$H,AGGREGATE(15,6,ROW('Usage Detail'!$A$5:$A$204)/(('Usage Detail'!$B$5:$B$204="Tasting")+('Usage Detail'!$B$5:$B$204="Promotional")),ROW(A76))),"")</f>
        <v/>
      </c>
    </row>
    <row r="85">
      <c r="A85" s="3">
        <f>IFERROR(INDEX('Usage Detail'!$A:$A,AGGREGATE(15,6,ROW('Usage Detail'!$A$5:$A$204)/(('Usage Detail'!$B$5:$B$204="Tasting")+('Usage Detail'!$B$5:$B$204="Promotional")),ROW(A77))),"")</f>
        <v/>
      </c>
      <c r="B85" s="3">
        <f>IFERROR(INDEX('Usage Detail'!$B:$B,AGGREGATE(15,6,ROW('Usage Detail'!$A$5:$A$204)/(('Usage Detail'!$B$5:$B$204="Tasting")+('Usage Detail'!$B$5:$B$204="Promotional")),ROW(A77))),"")</f>
        <v/>
      </c>
      <c r="C85" s="3">
        <f>IFERROR(INDEX('Usage Detail'!$C:$C,AGGREGATE(15,6,ROW('Usage Detail'!$A$5:$A$204)/(('Usage Detail'!$B$5:$B$204="Tasting")+('Usage Detail'!$B$5:$B$204="Promotional")),ROW(A77))),"")</f>
        <v/>
      </c>
      <c r="D85" s="3">
        <f>IFERROR(INDEX('Usage Detail'!$D:$D,AGGREGATE(15,6,ROW('Usage Detail'!$A$5:$A$204)/(('Usage Detail'!$B$5:$B$204="Tasting")+('Usage Detail'!$B$5:$B$204="Promotional")),ROW(A77))),"")</f>
        <v/>
      </c>
      <c r="E85" s="4">
        <f>IFERROR(INDEX('Usage Detail'!$E:$E,AGGREGATE(15,6,ROW('Usage Detail'!$A$5:$A$204)/(('Usage Detail'!$B$5:$B$204="Tasting")+('Usage Detail'!$B$5:$B$204="Promotional")),ROW(A77))),"")</f>
        <v/>
      </c>
      <c r="F85" s="4">
        <f>IFERROR(INDEX('Usage Detail'!$F:$F,AGGREGATE(15,6,ROW('Usage Detail'!$A$5:$A$204)/(('Usage Detail'!$B$5:$B$204="Tasting")+('Usage Detail'!$B$5:$B$204="Promotional")),ROW(A77))),"")</f>
        <v/>
      </c>
      <c r="G85" s="4">
        <f>IFERROR(INDEX('Usage Detail'!$G:$G,AGGREGATE(15,6,ROW('Usage Detail'!$A$5:$A$204)/(('Usage Detail'!$B$5:$B$204="Tasting")+('Usage Detail'!$B$5:$B$204="Promotional")),ROW(A77))),"")</f>
        <v/>
      </c>
      <c r="H85" s="4">
        <f>IFERROR(INDEX('Usage Detail'!$H:$H,AGGREGATE(15,6,ROW('Usage Detail'!$A$5:$A$204)/(('Usage Detail'!$B$5:$B$204="Tasting")+('Usage Detail'!$B$5:$B$204="Promotional")),ROW(A77))),"")</f>
        <v/>
      </c>
    </row>
    <row r="86">
      <c r="A86" s="3">
        <f>IFERROR(INDEX('Usage Detail'!$A:$A,AGGREGATE(15,6,ROW('Usage Detail'!$A$5:$A$204)/(('Usage Detail'!$B$5:$B$204="Tasting")+('Usage Detail'!$B$5:$B$204="Promotional")),ROW(A78))),"")</f>
        <v/>
      </c>
      <c r="B86" s="3">
        <f>IFERROR(INDEX('Usage Detail'!$B:$B,AGGREGATE(15,6,ROW('Usage Detail'!$A$5:$A$204)/(('Usage Detail'!$B$5:$B$204="Tasting")+('Usage Detail'!$B$5:$B$204="Promotional")),ROW(A78))),"")</f>
        <v/>
      </c>
      <c r="C86" s="3">
        <f>IFERROR(INDEX('Usage Detail'!$C:$C,AGGREGATE(15,6,ROW('Usage Detail'!$A$5:$A$204)/(('Usage Detail'!$B$5:$B$204="Tasting")+('Usage Detail'!$B$5:$B$204="Promotional")),ROW(A78))),"")</f>
        <v/>
      </c>
      <c r="D86" s="3">
        <f>IFERROR(INDEX('Usage Detail'!$D:$D,AGGREGATE(15,6,ROW('Usage Detail'!$A$5:$A$204)/(('Usage Detail'!$B$5:$B$204="Tasting")+('Usage Detail'!$B$5:$B$204="Promotional")),ROW(A78))),"")</f>
        <v/>
      </c>
      <c r="E86" s="4">
        <f>IFERROR(INDEX('Usage Detail'!$E:$E,AGGREGATE(15,6,ROW('Usage Detail'!$A$5:$A$204)/(('Usage Detail'!$B$5:$B$204="Tasting")+('Usage Detail'!$B$5:$B$204="Promotional")),ROW(A78))),"")</f>
        <v/>
      </c>
      <c r="F86" s="4">
        <f>IFERROR(INDEX('Usage Detail'!$F:$F,AGGREGATE(15,6,ROW('Usage Detail'!$A$5:$A$204)/(('Usage Detail'!$B$5:$B$204="Tasting")+('Usage Detail'!$B$5:$B$204="Promotional")),ROW(A78))),"")</f>
        <v/>
      </c>
      <c r="G86" s="4">
        <f>IFERROR(INDEX('Usage Detail'!$G:$G,AGGREGATE(15,6,ROW('Usage Detail'!$A$5:$A$204)/(('Usage Detail'!$B$5:$B$204="Tasting")+('Usage Detail'!$B$5:$B$204="Promotional")),ROW(A78))),"")</f>
        <v/>
      </c>
      <c r="H86" s="4">
        <f>IFERROR(INDEX('Usage Detail'!$H:$H,AGGREGATE(15,6,ROW('Usage Detail'!$A$5:$A$204)/(('Usage Detail'!$B$5:$B$204="Tasting")+('Usage Detail'!$B$5:$B$204="Promotional")),ROW(A78))),"")</f>
        <v/>
      </c>
    </row>
    <row r="87">
      <c r="A87" s="3">
        <f>IFERROR(INDEX('Usage Detail'!$A:$A,AGGREGATE(15,6,ROW('Usage Detail'!$A$5:$A$204)/(('Usage Detail'!$B$5:$B$204="Tasting")+('Usage Detail'!$B$5:$B$204="Promotional")),ROW(A79))),"")</f>
        <v/>
      </c>
      <c r="B87" s="3">
        <f>IFERROR(INDEX('Usage Detail'!$B:$B,AGGREGATE(15,6,ROW('Usage Detail'!$A$5:$A$204)/(('Usage Detail'!$B$5:$B$204="Tasting")+('Usage Detail'!$B$5:$B$204="Promotional")),ROW(A79))),"")</f>
        <v/>
      </c>
      <c r="C87" s="3">
        <f>IFERROR(INDEX('Usage Detail'!$C:$C,AGGREGATE(15,6,ROW('Usage Detail'!$A$5:$A$204)/(('Usage Detail'!$B$5:$B$204="Tasting")+('Usage Detail'!$B$5:$B$204="Promotional")),ROW(A79))),"")</f>
        <v/>
      </c>
      <c r="D87" s="3">
        <f>IFERROR(INDEX('Usage Detail'!$D:$D,AGGREGATE(15,6,ROW('Usage Detail'!$A$5:$A$204)/(('Usage Detail'!$B$5:$B$204="Tasting")+('Usage Detail'!$B$5:$B$204="Promotional")),ROW(A79))),"")</f>
        <v/>
      </c>
      <c r="E87" s="4">
        <f>IFERROR(INDEX('Usage Detail'!$E:$E,AGGREGATE(15,6,ROW('Usage Detail'!$A$5:$A$204)/(('Usage Detail'!$B$5:$B$204="Tasting")+('Usage Detail'!$B$5:$B$204="Promotional")),ROW(A79))),"")</f>
        <v/>
      </c>
      <c r="F87" s="4">
        <f>IFERROR(INDEX('Usage Detail'!$F:$F,AGGREGATE(15,6,ROW('Usage Detail'!$A$5:$A$204)/(('Usage Detail'!$B$5:$B$204="Tasting")+('Usage Detail'!$B$5:$B$204="Promotional")),ROW(A79))),"")</f>
        <v/>
      </c>
      <c r="G87" s="4">
        <f>IFERROR(INDEX('Usage Detail'!$G:$G,AGGREGATE(15,6,ROW('Usage Detail'!$A$5:$A$204)/(('Usage Detail'!$B$5:$B$204="Tasting")+('Usage Detail'!$B$5:$B$204="Promotional")),ROW(A79))),"")</f>
        <v/>
      </c>
      <c r="H87" s="4">
        <f>IFERROR(INDEX('Usage Detail'!$H:$H,AGGREGATE(15,6,ROW('Usage Detail'!$A$5:$A$204)/(('Usage Detail'!$B$5:$B$204="Tasting")+('Usage Detail'!$B$5:$B$204="Promotional")),ROW(A79))),"")</f>
        <v/>
      </c>
    </row>
    <row r="88">
      <c r="A88" s="3">
        <f>IFERROR(INDEX('Usage Detail'!$A:$A,AGGREGATE(15,6,ROW('Usage Detail'!$A$5:$A$204)/(('Usage Detail'!$B$5:$B$204="Tasting")+('Usage Detail'!$B$5:$B$204="Promotional")),ROW(A80))),"")</f>
        <v/>
      </c>
      <c r="B88" s="3">
        <f>IFERROR(INDEX('Usage Detail'!$B:$B,AGGREGATE(15,6,ROW('Usage Detail'!$A$5:$A$204)/(('Usage Detail'!$B$5:$B$204="Tasting")+('Usage Detail'!$B$5:$B$204="Promotional")),ROW(A80))),"")</f>
        <v/>
      </c>
      <c r="C88" s="3">
        <f>IFERROR(INDEX('Usage Detail'!$C:$C,AGGREGATE(15,6,ROW('Usage Detail'!$A$5:$A$204)/(('Usage Detail'!$B$5:$B$204="Tasting")+('Usage Detail'!$B$5:$B$204="Promotional")),ROW(A80))),"")</f>
        <v/>
      </c>
      <c r="D88" s="3">
        <f>IFERROR(INDEX('Usage Detail'!$D:$D,AGGREGATE(15,6,ROW('Usage Detail'!$A$5:$A$204)/(('Usage Detail'!$B$5:$B$204="Tasting")+('Usage Detail'!$B$5:$B$204="Promotional")),ROW(A80))),"")</f>
        <v/>
      </c>
      <c r="E88" s="4">
        <f>IFERROR(INDEX('Usage Detail'!$E:$E,AGGREGATE(15,6,ROW('Usage Detail'!$A$5:$A$204)/(('Usage Detail'!$B$5:$B$204="Tasting")+('Usage Detail'!$B$5:$B$204="Promotional")),ROW(A80))),"")</f>
        <v/>
      </c>
      <c r="F88" s="4">
        <f>IFERROR(INDEX('Usage Detail'!$F:$F,AGGREGATE(15,6,ROW('Usage Detail'!$A$5:$A$204)/(('Usage Detail'!$B$5:$B$204="Tasting")+('Usage Detail'!$B$5:$B$204="Promotional")),ROW(A80))),"")</f>
        <v/>
      </c>
      <c r="G88" s="4">
        <f>IFERROR(INDEX('Usage Detail'!$G:$G,AGGREGATE(15,6,ROW('Usage Detail'!$A$5:$A$204)/(('Usage Detail'!$B$5:$B$204="Tasting")+('Usage Detail'!$B$5:$B$204="Promotional")),ROW(A80))),"")</f>
        <v/>
      </c>
      <c r="H88" s="4">
        <f>IFERROR(INDEX('Usage Detail'!$H:$H,AGGREGATE(15,6,ROW('Usage Detail'!$A$5:$A$204)/(('Usage Detail'!$B$5:$B$204="Tasting")+('Usage Detail'!$B$5:$B$204="Promotional")),ROW(A80))),"")</f>
        <v/>
      </c>
    </row>
    <row r="89">
      <c r="A89" s="3">
        <f>IFERROR(INDEX('Usage Detail'!$A:$A,AGGREGATE(15,6,ROW('Usage Detail'!$A$5:$A$204)/(('Usage Detail'!$B$5:$B$204="Tasting")+('Usage Detail'!$B$5:$B$204="Promotional")),ROW(A81))),"")</f>
        <v/>
      </c>
      <c r="B89" s="3">
        <f>IFERROR(INDEX('Usage Detail'!$B:$B,AGGREGATE(15,6,ROW('Usage Detail'!$A$5:$A$204)/(('Usage Detail'!$B$5:$B$204="Tasting")+('Usage Detail'!$B$5:$B$204="Promotional")),ROW(A81))),"")</f>
        <v/>
      </c>
      <c r="C89" s="3">
        <f>IFERROR(INDEX('Usage Detail'!$C:$C,AGGREGATE(15,6,ROW('Usage Detail'!$A$5:$A$204)/(('Usage Detail'!$B$5:$B$204="Tasting")+('Usage Detail'!$B$5:$B$204="Promotional")),ROW(A81))),"")</f>
        <v/>
      </c>
      <c r="D89" s="3">
        <f>IFERROR(INDEX('Usage Detail'!$D:$D,AGGREGATE(15,6,ROW('Usage Detail'!$A$5:$A$204)/(('Usage Detail'!$B$5:$B$204="Tasting")+('Usage Detail'!$B$5:$B$204="Promotional")),ROW(A81))),"")</f>
        <v/>
      </c>
      <c r="E89" s="4">
        <f>IFERROR(INDEX('Usage Detail'!$E:$E,AGGREGATE(15,6,ROW('Usage Detail'!$A$5:$A$204)/(('Usage Detail'!$B$5:$B$204="Tasting")+('Usage Detail'!$B$5:$B$204="Promotional")),ROW(A81))),"")</f>
        <v/>
      </c>
      <c r="F89" s="4">
        <f>IFERROR(INDEX('Usage Detail'!$F:$F,AGGREGATE(15,6,ROW('Usage Detail'!$A$5:$A$204)/(('Usage Detail'!$B$5:$B$204="Tasting")+('Usage Detail'!$B$5:$B$204="Promotional")),ROW(A81))),"")</f>
        <v/>
      </c>
      <c r="G89" s="4">
        <f>IFERROR(INDEX('Usage Detail'!$G:$G,AGGREGATE(15,6,ROW('Usage Detail'!$A$5:$A$204)/(('Usage Detail'!$B$5:$B$204="Tasting")+('Usage Detail'!$B$5:$B$204="Promotional")),ROW(A81))),"")</f>
        <v/>
      </c>
      <c r="H89" s="4">
        <f>IFERROR(INDEX('Usage Detail'!$H:$H,AGGREGATE(15,6,ROW('Usage Detail'!$A$5:$A$204)/(('Usage Detail'!$B$5:$B$204="Tasting")+('Usage Detail'!$B$5:$B$204="Promotional")),ROW(A81))),"")</f>
        <v/>
      </c>
    </row>
    <row r="90">
      <c r="A90" s="3">
        <f>IFERROR(INDEX('Usage Detail'!$A:$A,AGGREGATE(15,6,ROW('Usage Detail'!$A$5:$A$204)/(('Usage Detail'!$B$5:$B$204="Tasting")+('Usage Detail'!$B$5:$B$204="Promotional")),ROW(A82))),"")</f>
        <v/>
      </c>
      <c r="B90" s="3">
        <f>IFERROR(INDEX('Usage Detail'!$B:$B,AGGREGATE(15,6,ROW('Usage Detail'!$A$5:$A$204)/(('Usage Detail'!$B$5:$B$204="Tasting")+('Usage Detail'!$B$5:$B$204="Promotional")),ROW(A82))),"")</f>
        <v/>
      </c>
      <c r="C90" s="3">
        <f>IFERROR(INDEX('Usage Detail'!$C:$C,AGGREGATE(15,6,ROW('Usage Detail'!$A$5:$A$204)/(('Usage Detail'!$B$5:$B$204="Tasting")+('Usage Detail'!$B$5:$B$204="Promotional")),ROW(A82))),"")</f>
        <v/>
      </c>
      <c r="D90" s="3">
        <f>IFERROR(INDEX('Usage Detail'!$D:$D,AGGREGATE(15,6,ROW('Usage Detail'!$A$5:$A$204)/(('Usage Detail'!$B$5:$B$204="Tasting")+('Usage Detail'!$B$5:$B$204="Promotional")),ROW(A82))),"")</f>
        <v/>
      </c>
      <c r="E90" s="4">
        <f>IFERROR(INDEX('Usage Detail'!$E:$E,AGGREGATE(15,6,ROW('Usage Detail'!$A$5:$A$204)/(('Usage Detail'!$B$5:$B$204="Tasting")+('Usage Detail'!$B$5:$B$204="Promotional")),ROW(A82))),"")</f>
        <v/>
      </c>
      <c r="F90" s="4">
        <f>IFERROR(INDEX('Usage Detail'!$F:$F,AGGREGATE(15,6,ROW('Usage Detail'!$A$5:$A$204)/(('Usage Detail'!$B$5:$B$204="Tasting")+('Usage Detail'!$B$5:$B$204="Promotional")),ROW(A82))),"")</f>
        <v/>
      </c>
      <c r="G90" s="4">
        <f>IFERROR(INDEX('Usage Detail'!$G:$G,AGGREGATE(15,6,ROW('Usage Detail'!$A$5:$A$204)/(('Usage Detail'!$B$5:$B$204="Tasting")+('Usage Detail'!$B$5:$B$204="Promotional")),ROW(A82))),"")</f>
        <v/>
      </c>
      <c r="H90" s="4">
        <f>IFERROR(INDEX('Usage Detail'!$H:$H,AGGREGATE(15,6,ROW('Usage Detail'!$A$5:$A$204)/(('Usage Detail'!$B$5:$B$204="Tasting")+('Usage Detail'!$B$5:$B$204="Promotional")),ROW(A82))),"")</f>
        <v/>
      </c>
    </row>
    <row r="91">
      <c r="A91" s="3">
        <f>IFERROR(INDEX('Usage Detail'!$A:$A,AGGREGATE(15,6,ROW('Usage Detail'!$A$5:$A$204)/(('Usage Detail'!$B$5:$B$204="Tasting")+('Usage Detail'!$B$5:$B$204="Promotional")),ROW(A83))),"")</f>
        <v/>
      </c>
      <c r="B91" s="3">
        <f>IFERROR(INDEX('Usage Detail'!$B:$B,AGGREGATE(15,6,ROW('Usage Detail'!$A$5:$A$204)/(('Usage Detail'!$B$5:$B$204="Tasting")+('Usage Detail'!$B$5:$B$204="Promotional")),ROW(A83))),"")</f>
        <v/>
      </c>
      <c r="C91" s="3">
        <f>IFERROR(INDEX('Usage Detail'!$C:$C,AGGREGATE(15,6,ROW('Usage Detail'!$A$5:$A$204)/(('Usage Detail'!$B$5:$B$204="Tasting")+('Usage Detail'!$B$5:$B$204="Promotional")),ROW(A83))),"")</f>
        <v/>
      </c>
      <c r="D91" s="3">
        <f>IFERROR(INDEX('Usage Detail'!$D:$D,AGGREGATE(15,6,ROW('Usage Detail'!$A$5:$A$204)/(('Usage Detail'!$B$5:$B$204="Tasting")+('Usage Detail'!$B$5:$B$204="Promotional")),ROW(A83))),"")</f>
        <v/>
      </c>
      <c r="E91" s="4">
        <f>IFERROR(INDEX('Usage Detail'!$E:$E,AGGREGATE(15,6,ROW('Usage Detail'!$A$5:$A$204)/(('Usage Detail'!$B$5:$B$204="Tasting")+('Usage Detail'!$B$5:$B$204="Promotional")),ROW(A83))),"")</f>
        <v/>
      </c>
      <c r="F91" s="4">
        <f>IFERROR(INDEX('Usage Detail'!$F:$F,AGGREGATE(15,6,ROW('Usage Detail'!$A$5:$A$204)/(('Usage Detail'!$B$5:$B$204="Tasting")+('Usage Detail'!$B$5:$B$204="Promotional")),ROW(A83))),"")</f>
        <v/>
      </c>
      <c r="G91" s="4">
        <f>IFERROR(INDEX('Usage Detail'!$G:$G,AGGREGATE(15,6,ROW('Usage Detail'!$A$5:$A$204)/(('Usage Detail'!$B$5:$B$204="Tasting")+('Usage Detail'!$B$5:$B$204="Promotional")),ROW(A83))),"")</f>
        <v/>
      </c>
      <c r="H91" s="4">
        <f>IFERROR(INDEX('Usage Detail'!$H:$H,AGGREGATE(15,6,ROW('Usage Detail'!$A$5:$A$204)/(('Usage Detail'!$B$5:$B$204="Tasting")+('Usage Detail'!$B$5:$B$204="Promotional")),ROW(A83))),"")</f>
        <v/>
      </c>
    </row>
    <row r="92">
      <c r="A92" s="3">
        <f>IFERROR(INDEX('Usage Detail'!$A:$A,AGGREGATE(15,6,ROW('Usage Detail'!$A$5:$A$204)/(('Usage Detail'!$B$5:$B$204="Tasting")+('Usage Detail'!$B$5:$B$204="Promotional")),ROW(A84))),"")</f>
        <v/>
      </c>
      <c r="B92" s="3">
        <f>IFERROR(INDEX('Usage Detail'!$B:$B,AGGREGATE(15,6,ROW('Usage Detail'!$A$5:$A$204)/(('Usage Detail'!$B$5:$B$204="Tasting")+('Usage Detail'!$B$5:$B$204="Promotional")),ROW(A84))),"")</f>
        <v/>
      </c>
      <c r="C92" s="3">
        <f>IFERROR(INDEX('Usage Detail'!$C:$C,AGGREGATE(15,6,ROW('Usage Detail'!$A$5:$A$204)/(('Usage Detail'!$B$5:$B$204="Tasting")+('Usage Detail'!$B$5:$B$204="Promotional")),ROW(A84))),"")</f>
        <v/>
      </c>
      <c r="D92" s="3">
        <f>IFERROR(INDEX('Usage Detail'!$D:$D,AGGREGATE(15,6,ROW('Usage Detail'!$A$5:$A$204)/(('Usage Detail'!$B$5:$B$204="Tasting")+('Usage Detail'!$B$5:$B$204="Promotional")),ROW(A84))),"")</f>
        <v/>
      </c>
      <c r="E92" s="4">
        <f>IFERROR(INDEX('Usage Detail'!$E:$E,AGGREGATE(15,6,ROW('Usage Detail'!$A$5:$A$204)/(('Usage Detail'!$B$5:$B$204="Tasting")+('Usage Detail'!$B$5:$B$204="Promotional")),ROW(A84))),"")</f>
        <v/>
      </c>
      <c r="F92" s="4">
        <f>IFERROR(INDEX('Usage Detail'!$F:$F,AGGREGATE(15,6,ROW('Usage Detail'!$A$5:$A$204)/(('Usage Detail'!$B$5:$B$204="Tasting")+('Usage Detail'!$B$5:$B$204="Promotional")),ROW(A84))),"")</f>
        <v/>
      </c>
      <c r="G92" s="4">
        <f>IFERROR(INDEX('Usage Detail'!$G:$G,AGGREGATE(15,6,ROW('Usage Detail'!$A$5:$A$204)/(('Usage Detail'!$B$5:$B$204="Tasting")+('Usage Detail'!$B$5:$B$204="Promotional")),ROW(A84))),"")</f>
        <v/>
      </c>
      <c r="H92" s="4">
        <f>IFERROR(INDEX('Usage Detail'!$H:$H,AGGREGATE(15,6,ROW('Usage Detail'!$A$5:$A$204)/(('Usage Detail'!$B$5:$B$204="Tasting")+('Usage Detail'!$B$5:$B$204="Promotional")),ROW(A84))),"")</f>
        <v/>
      </c>
    </row>
    <row r="93">
      <c r="A93" s="3">
        <f>IFERROR(INDEX('Usage Detail'!$A:$A,AGGREGATE(15,6,ROW('Usage Detail'!$A$5:$A$204)/(('Usage Detail'!$B$5:$B$204="Tasting")+('Usage Detail'!$B$5:$B$204="Promotional")),ROW(A85))),"")</f>
        <v/>
      </c>
      <c r="B93" s="3">
        <f>IFERROR(INDEX('Usage Detail'!$B:$B,AGGREGATE(15,6,ROW('Usage Detail'!$A$5:$A$204)/(('Usage Detail'!$B$5:$B$204="Tasting")+('Usage Detail'!$B$5:$B$204="Promotional")),ROW(A85))),"")</f>
        <v/>
      </c>
      <c r="C93" s="3">
        <f>IFERROR(INDEX('Usage Detail'!$C:$C,AGGREGATE(15,6,ROW('Usage Detail'!$A$5:$A$204)/(('Usage Detail'!$B$5:$B$204="Tasting")+('Usage Detail'!$B$5:$B$204="Promotional")),ROW(A85))),"")</f>
        <v/>
      </c>
      <c r="D93" s="3">
        <f>IFERROR(INDEX('Usage Detail'!$D:$D,AGGREGATE(15,6,ROW('Usage Detail'!$A$5:$A$204)/(('Usage Detail'!$B$5:$B$204="Tasting")+('Usage Detail'!$B$5:$B$204="Promotional")),ROW(A85))),"")</f>
        <v/>
      </c>
      <c r="E93" s="4">
        <f>IFERROR(INDEX('Usage Detail'!$E:$E,AGGREGATE(15,6,ROW('Usage Detail'!$A$5:$A$204)/(('Usage Detail'!$B$5:$B$204="Tasting")+('Usage Detail'!$B$5:$B$204="Promotional")),ROW(A85))),"")</f>
        <v/>
      </c>
      <c r="F93" s="4">
        <f>IFERROR(INDEX('Usage Detail'!$F:$F,AGGREGATE(15,6,ROW('Usage Detail'!$A$5:$A$204)/(('Usage Detail'!$B$5:$B$204="Tasting")+('Usage Detail'!$B$5:$B$204="Promotional")),ROW(A85))),"")</f>
        <v/>
      </c>
      <c r="G93" s="4">
        <f>IFERROR(INDEX('Usage Detail'!$G:$G,AGGREGATE(15,6,ROW('Usage Detail'!$A$5:$A$204)/(('Usage Detail'!$B$5:$B$204="Tasting")+('Usage Detail'!$B$5:$B$204="Promotional")),ROW(A85))),"")</f>
        <v/>
      </c>
      <c r="H93" s="4">
        <f>IFERROR(INDEX('Usage Detail'!$H:$H,AGGREGATE(15,6,ROW('Usage Detail'!$A$5:$A$204)/(('Usage Detail'!$B$5:$B$204="Tasting")+('Usage Detail'!$B$5:$B$204="Promotional")),ROW(A85))),"")</f>
        <v/>
      </c>
    </row>
    <row r="94">
      <c r="A94" s="3">
        <f>IFERROR(INDEX('Usage Detail'!$A:$A,AGGREGATE(15,6,ROW('Usage Detail'!$A$5:$A$204)/(('Usage Detail'!$B$5:$B$204="Tasting")+('Usage Detail'!$B$5:$B$204="Promotional")),ROW(A86))),"")</f>
        <v/>
      </c>
      <c r="B94" s="3">
        <f>IFERROR(INDEX('Usage Detail'!$B:$B,AGGREGATE(15,6,ROW('Usage Detail'!$A$5:$A$204)/(('Usage Detail'!$B$5:$B$204="Tasting")+('Usage Detail'!$B$5:$B$204="Promotional")),ROW(A86))),"")</f>
        <v/>
      </c>
      <c r="C94" s="3">
        <f>IFERROR(INDEX('Usage Detail'!$C:$C,AGGREGATE(15,6,ROW('Usage Detail'!$A$5:$A$204)/(('Usage Detail'!$B$5:$B$204="Tasting")+('Usage Detail'!$B$5:$B$204="Promotional")),ROW(A86))),"")</f>
        <v/>
      </c>
      <c r="D94" s="3">
        <f>IFERROR(INDEX('Usage Detail'!$D:$D,AGGREGATE(15,6,ROW('Usage Detail'!$A$5:$A$204)/(('Usage Detail'!$B$5:$B$204="Tasting")+('Usage Detail'!$B$5:$B$204="Promotional")),ROW(A86))),"")</f>
        <v/>
      </c>
      <c r="E94" s="4">
        <f>IFERROR(INDEX('Usage Detail'!$E:$E,AGGREGATE(15,6,ROW('Usage Detail'!$A$5:$A$204)/(('Usage Detail'!$B$5:$B$204="Tasting")+('Usage Detail'!$B$5:$B$204="Promotional")),ROW(A86))),"")</f>
        <v/>
      </c>
      <c r="F94" s="4">
        <f>IFERROR(INDEX('Usage Detail'!$F:$F,AGGREGATE(15,6,ROW('Usage Detail'!$A$5:$A$204)/(('Usage Detail'!$B$5:$B$204="Tasting")+('Usage Detail'!$B$5:$B$204="Promotional")),ROW(A86))),"")</f>
        <v/>
      </c>
      <c r="G94" s="4">
        <f>IFERROR(INDEX('Usage Detail'!$G:$G,AGGREGATE(15,6,ROW('Usage Detail'!$A$5:$A$204)/(('Usage Detail'!$B$5:$B$204="Tasting")+('Usage Detail'!$B$5:$B$204="Promotional")),ROW(A86))),"")</f>
        <v/>
      </c>
      <c r="H94" s="4">
        <f>IFERROR(INDEX('Usage Detail'!$H:$H,AGGREGATE(15,6,ROW('Usage Detail'!$A$5:$A$204)/(('Usage Detail'!$B$5:$B$204="Tasting")+('Usage Detail'!$B$5:$B$204="Promotional")),ROW(A86))),"")</f>
        <v/>
      </c>
    </row>
    <row r="95">
      <c r="A95" s="3">
        <f>IFERROR(INDEX('Usage Detail'!$A:$A,AGGREGATE(15,6,ROW('Usage Detail'!$A$5:$A$204)/(('Usage Detail'!$B$5:$B$204="Tasting")+('Usage Detail'!$B$5:$B$204="Promotional")),ROW(A87))),"")</f>
        <v/>
      </c>
      <c r="B95" s="3">
        <f>IFERROR(INDEX('Usage Detail'!$B:$B,AGGREGATE(15,6,ROW('Usage Detail'!$A$5:$A$204)/(('Usage Detail'!$B$5:$B$204="Tasting")+('Usage Detail'!$B$5:$B$204="Promotional")),ROW(A87))),"")</f>
        <v/>
      </c>
      <c r="C95" s="3">
        <f>IFERROR(INDEX('Usage Detail'!$C:$C,AGGREGATE(15,6,ROW('Usage Detail'!$A$5:$A$204)/(('Usage Detail'!$B$5:$B$204="Tasting")+('Usage Detail'!$B$5:$B$204="Promotional")),ROW(A87))),"")</f>
        <v/>
      </c>
      <c r="D95" s="3">
        <f>IFERROR(INDEX('Usage Detail'!$D:$D,AGGREGATE(15,6,ROW('Usage Detail'!$A$5:$A$204)/(('Usage Detail'!$B$5:$B$204="Tasting")+('Usage Detail'!$B$5:$B$204="Promotional")),ROW(A87))),"")</f>
        <v/>
      </c>
      <c r="E95" s="4">
        <f>IFERROR(INDEX('Usage Detail'!$E:$E,AGGREGATE(15,6,ROW('Usage Detail'!$A$5:$A$204)/(('Usage Detail'!$B$5:$B$204="Tasting")+('Usage Detail'!$B$5:$B$204="Promotional")),ROW(A87))),"")</f>
        <v/>
      </c>
      <c r="F95" s="4">
        <f>IFERROR(INDEX('Usage Detail'!$F:$F,AGGREGATE(15,6,ROW('Usage Detail'!$A$5:$A$204)/(('Usage Detail'!$B$5:$B$204="Tasting")+('Usage Detail'!$B$5:$B$204="Promotional")),ROW(A87))),"")</f>
        <v/>
      </c>
      <c r="G95" s="4">
        <f>IFERROR(INDEX('Usage Detail'!$G:$G,AGGREGATE(15,6,ROW('Usage Detail'!$A$5:$A$204)/(('Usage Detail'!$B$5:$B$204="Tasting")+('Usage Detail'!$B$5:$B$204="Promotional")),ROW(A87))),"")</f>
        <v/>
      </c>
      <c r="H95" s="4">
        <f>IFERROR(INDEX('Usage Detail'!$H:$H,AGGREGATE(15,6,ROW('Usage Detail'!$A$5:$A$204)/(('Usage Detail'!$B$5:$B$204="Tasting")+('Usage Detail'!$B$5:$B$204="Promotional")),ROW(A87))),"")</f>
        <v/>
      </c>
    </row>
    <row r="96">
      <c r="A96" s="3">
        <f>IFERROR(INDEX('Usage Detail'!$A:$A,AGGREGATE(15,6,ROW('Usage Detail'!$A$5:$A$204)/(('Usage Detail'!$B$5:$B$204="Tasting")+('Usage Detail'!$B$5:$B$204="Promotional")),ROW(A88))),"")</f>
        <v/>
      </c>
      <c r="B96" s="3">
        <f>IFERROR(INDEX('Usage Detail'!$B:$B,AGGREGATE(15,6,ROW('Usage Detail'!$A$5:$A$204)/(('Usage Detail'!$B$5:$B$204="Tasting")+('Usage Detail'!$B$5:$B$204="Promotional")),ROW(A88))),"")</f>
        <v/>
      </c>
      <c r="C96" s="3">
        <f>IFERROR(INDEX('Usage Detail'!$C:$C,AGGREGATE(15,6,ROW('Usage Detail'!$A$5:$A$204)/(('Usage Detail'!$B$5:$B$204="Tasting")+('Usage Detail'!$B$5:$B$204="Promotional")),ROW(A88))),"")</f>
        <v/>
      </c>
      <c r="D96" s="3">
        <f>IFERROR(INDEX('Usage Detail'!$D:$D,AGGREGATE(15,6,ROW('Usage Detail'!$A$5:$A$204)/(('Usage Detail'!$B$5:$B$204="Tasting")+('Usage Detail'!$B$5:$B$204="Promotional")),ROW(A88))),"")</f>
        <v/>
      </c>
      <c r="E96" s="4">
        <f>IFERROR(INDEX('Usage Detail'!$E:$E,AGGREGATE(15,6,ROW('Usage Detail'!$A$5:$A$204)/(('Usage Detail'!$B$5:$B$204="Tasting")+('Usage Detail'!$B$5:$B$204="Promotional")),ROW(A88))),"")</f>
        <v/>
      </c>
      <c r="F96" s="4">
        <f>IFERROR(INDEX('Usage Detail'!$F:$F,AGGREGATE(15,6,ROW('Usage Detail'!$A$5:$A$204)/(('Usage Detail'!$B$5:$B$204="Tasting")+('Usage Detail'!$B$5:$B$204="Promotional")),ROW(A88))),"")</f>
        <v/>
      </c>
      <c r="G96" s="4">
        <f>IFERROR(INDEX('Usage Detail'!$G:$G,AGGREGATE(15,6,ROW('Usage Detail'!$A$5:$A$204)/(('Usage Detail'!$B$5:$B$204="Tasting")+('Usage Detail'!$B$5:$B$204="Promotional")),ROW(A88))),"")</f>
        <v/>
      </c>
      <c r="H96" s="4">
        <f>IFERROR(INDEX('Usage Detail'!$H:$H,AGGREGATE(15,6,ROW('Usage Detail'!$A$5:$A$204)/(('Usage Detail'!$B$5:$B$204="Tasting")+('Usage Detail'!$B$5:$B$204="Promotional")),ROW(A88))),"")</f>
        <v/>
      </c>
    </row>
    <row r="97">
      <c r="A97" s="3">
        <f>IFERROR(INDEX('Usage Detail'!$A:$A,AGGREGATE(15,6,ROW('Usage Detail'!$A$5:$A$204)/(('Usage Detail'!$B$5:$B$204="Tasting")+('Usage Detail'!$B$5:$B$204="Promotional")),ROW(A89))),"")</f>
        <v/>
      </c>
      <c r="B97" s="3">
        <f>IFERROR(INDEX('Usage Detail'!$B:$B,AGGREGATE(15,6,ROW('Usage Detail'!$A$5:$A$204)/(('Usage Detail'!$B$5:$B$204="Tasting")+('Usage Detail'!$B$5:$B$204="Promotional")),ROW(A89))),"")</f>
        <v/>
      </c>
      <c r="C97" s="3">
        <f>IFERROR(INDEX('Usage Detail'!$C:$C,AGGREGATE(15,6,ROW('Usage Detail'!$A$5:$A$204)/(('Usage Detail'!$B$5:$B$204="Tasting")+('Usage Detail'!$B$5:$B$204="Promotional")),ROW(A89))),"")</f>
        <v/>
      </c>
      <c r="D97" s="3">
        <f>IFERROR(INDEX('Usage Detail'!$D:$D,AGGREGATE(15,6,ROW('Usage Detail'!$A$5:$A$204)/(('Usage Detail'!$B$5:$B$204="Tasting")+('Usage Detail'!$B$5:$B$204="Promotional")),ROW(A89))),"")</f>
        <v/>
      </c>
      <c r="E97" s="4">
        <f>IFERROR(INDEX('Usage Detail'!$E:$E,AGGREGATE(15,6,ROW('Usage Detail'!$A$5:$A$204)/(('Usage Detail'!$B$5:$B$204="Tasting")+('Usage Detail'!$B$5:$B$204="Promotional")),ROW(A89))),"")</f>
        <v/>
      </c>
      <c r="F97" s="4">
        <f>IFERROR(INDEX('Usage Detail'!$F:$F,AGGREGATE(15,6,ROW('Usage Detail'!$A$5:$A$204)/(('Usage Detail'!$B$5:$B$204="Tasting")+('Usage Detail'!$B$5:$B$204="Promotional")),ROW(A89))),"")</f>
        <v/>
      </c>
      <c r="G97" s="4">
        <f>IFERROR(INDEX('Usage Detail'!$G:$G,AGGREGATE(15,6,ROW('Usage Detail'!$A$5:$A$204)/(('Usage Detail'!$B$5:$B$204="Tasting")+('Usage Detail'!$B$5:$B$204="Promotional")),ROW(A89))),"")</f>
        <v/>
      </c>
      <c r="H97" s="4">
        <f>IFERROR(INDEX('Usage Detail'!$H:$H,AGGREGATE(15,6,ROW('Usage Detail'!$A$5:$A$204)/(('Usage Detail'!$B$5:$B$204="Tasting")+('Usage Detail'!$B$5:$B$204="Promotional")),ROW(A89))),"")</f>
        <v/>
      </c>
    </row>
    <row r="98">
      <c r="A98" s="3">
        <f>IFERROR(INDEX('Usage Detail'!$A:$A,AGGREGATE(15,6,ROW('Usage Detail'!$A$5:$A$204)/(('Usage Detail'!$B$5:$B$204="Tasting")+('Usage Detail'!$B$5:$B$204="Promotional")),ROW(A90))),"")</f>
        <v/>
      </c>
      <c r="B98" s="3">
        <f>IFERROR(INDEX('Usage Detail'!$B:$B,AGGREGATE(15,6,ROW('Usage Detail'!$A$5:$A$204)/(('Usage Detail'!$B$5:$B$204="Tasting")+('Usage Detail'!$B$5:$B$204="Promotional")),ROW(A90))),"")</f>
        <v/>
      </c>
      <c r="C98" s="3">
        <f>IFERROR(INDEX('Usage Detail'!$C:$C,AGGREGATE(15,6,ROW('Usage Detail'!$A$5:$A$204)/(('Usage Detail'!$B$5:$B$204="Tasting")+('Usage Detail'!$B$5:$B$204="Promotional")),ROW(A90))),"")</f>
        <v/>
      </c>
      <c r="D98" s="3">
        <f>IFERROR(INDEX('Usage Detail'!$D:$D,AGGREGATE(15,6,ROW('Usage Detail'!$A$5:$A$204)/(('Usage Detail'!$B$5:$B$204="Tasting")+('Usage Detail'!$B$5:$B$204="Promotional")),ROW(A90))),"")</f>
        <v/>
      </c>
      <c r="E98" s="4">
        <f>IFERROR(INDEX('Usage Detail'!$E:$E,AGGREGATE(15,6,ROW('Usage Detail'!$A$5:$A$204)/(('Usage Detail'!$B$5:$B$204="Tasting")+('Usage Detail'!$B$5:$B$204="Promotional")),ROW(A90))),"")</f>
        <v/>
      </c>
      <c r="F98" s="4">
        <f>IFERROR(INDEX('Usage Detail'!$F:$F,AGGREGATE(15,6,ROW('Usage Detail'!$A$5:$A$204)/(('Usage Detail'!$B$5:$B$204="Tasting")+('Usage Detail'!$B$5:$B$204="Promotional")),ROW(A90))),"")</f>
        <v/>
      </c>
      <c r="G98" s="4">
        <f>IFERROR(INDEX('Usage Detail'!$G:$G,AGGREGATE(15,6,ROW('Usage Detail'!$A$5:$A$204)/(('Usage Detail'!$B$5:$B$204="Tasting")+('Usage Detail'!$B$5:$B$204="Promotional")),ROW(A90))),"")</f>
        <v/>
      </c>
      <c r="H98" s="4">
        <f>IFERROR(INDEX('Usage Detail'!$H:$H,AGGREGATE(15,6,ROW('Usage Detail'!$A$5:$A$204)/(('Usage Detail'!$B$5:$B$204="Tasting")+('Usage Detail'!$B$5:$B$204="Promotional")),ROW(A90))),"")</f>
        <v/>
      </c>
    </row>
    <row r="99">
      <c r="A99" s="3">
        <f>IFERROR(INDEX('Usage Detail'!$A:$A,AGGREGATE(15,6,ROW('Usage Detail'!$A$5:$A$204)/(('Usage Detail'!$B$5:$B$204="Tasting")+('Usage Detail'!$B$5:$B$204="Promotional")),ROW(A91))),"")</f>
        <v/>
      </c>
      <c r="B99" s="3">
        <f>IFERROR(INDEX('Usage Detail'!$B:$B,AGGREGATE(15,6,ROW('Usage Detail'!$A$5:$A$204)/(('Usage Detail'!$B$5:$B$204="Tasting")+('Usage Detail'!$B$5:$B$204="Promotional")),ROW(A91))),"")</f>
        <v/>
      </c>
      <c r="C99" s="3">
        <f>IFERROR(INDEX('Usage Detail'!$C:$C,AGGREGATE(15,6,ROW('Usage Detail'!$A$5:$A$204)/(('Usage Detail'!$B$5:$B$204="Tasting")+('Usage Detail'!$B$5:$B$204="Promotional")),ROW(A91))),"")</f>
        <v/>
      </c>
      <c r="D99" s="3">
        <f>IFERROR(INDEX('Usage Detail'!$D:$D,AGGREGATE(15,6,ROW('Usage Detail'!$A$5:$A$204)/(('Usage Detail'!$B$5:$B$204="Tasting")+('Usage Detail'!$B$5:$B$204="Promotional")),ROW(A91))),"")</f>
        <v/>
      </c>
      <c r="E99" s="4">
        <f>IFERROR(INDEX('Usage Detail'!$E:$E,AGGREGATE(15,6,ROW('Usage Detail'!$A$5:$A$204)/(('Usage Detail'!$B$5:$B$204="Tasting")+('Usage Detail'!$B$5:$B$204="Promotional")),ROW(A91))),"")</f>
        <v/>
      </c>
      <c r="F99" s="4">
        <f>IFERROR(INDEX('Usage Detail'!$F:$F,AGGREGATE(15,6,ROW('Usage Detail'!$A$5:$A$204)/(('Usage Detail'!$B$5:$B$204="Tasting")+('Usage Detail'!$B$5:$B$204="Promotional")),ROW(A91))),"")</f>
        <v/>
      </c>
      <c r="G99" s="4">
        <f>IFERROR(INDEX('Usage Detail'!$G:$G,AGGREGATE(15,6,ROW('Usage Detail'!$A$5:$A$204)/(('Usage Detail'!$B$5:$B$204="Tasting")+('Usage Detail'!$B$5:$B$204="Promotional")),ROW(A91))),"")</f>
        <v/>
      </c>
      <c r="H99" s="4">
        <f>IFERROR(INDEX('Usage Detail'!$H:$H,AGGREGATE(15,6,ROW('Usage Detail'!$A$5:$A$204)/(('Usage Detail'!$B$5:$B$204="Tasting")+('Usage Detail'!$B$5:$B$204="Promotional")),ROW(A91))),"")</f>
        <v/>
      </c>
    </row>
    <row r="100">
      <c r="A100" s="3">
        <f>IFERROR(INDEX('Usage Detail'!$A:$A,AGGREGATE(15,6,ROW('Usage Detail'!$A$5:$A$204)/(('Usage Detail'!$B$5:$B$204="Tasting")+('Usage Detail'!$B$5:$B$204="Promotional")),ROW(A92))),"")</f>
        <v/>
      </c>
      <c r="B100" s="3">
        <f>IFERROR(INDEX('Usage Detail'!$B:$B,AGGREGATE(15,6,ROW('Usage Detail'!$A$5:$A$204)/(('Usage Detail'!$B$5:$B$204="Tasting")+('Usage Detail'!$B$5:$B$204="Promotional")),ROW(A92))),"")</f>
        <v/>
      </c>
      <c r="C100" s="3">
        <f>IFERROR(INDEX('Usage Detail'!$C:$C,AGGREGATE(15,6,ROW('Usage Detail'!$A$5:$A$204)/(('Usage Detail'!$B$5:$B$204="Tasting")+('Usage Detail'!$B$5:$B$204="Promotional")),ROW(A92))),"")</f>
        <v/>
      </c>
      <c r="D100" s="3">
        <f>IFERROR(INDEX('Usage Detail'!$D:$D,AGGREGATE(15,6,ROW('Usage Detail'!$A$5:$A$204)/(('Usage Detail'!$B$5:$B$204="Tasting")+('Usage Detail'!$B$5:$B$204="Promotional")),ROW(A92))),"")</f>
        <v/>
      </c>
      <c r="E100" s="4">
        <f>IFERROR(INDEX('Usage Detail'!$E:$E,AGGREGATE(15,6,ROW('Usage Detail'!$A$5:$A$204)/(('Usage Detail'!$B$5:$B$204="Tasting")+('Usage Detail'!$B$5:$B$204="Promotional")),ROW(A92))),"")</f>
        <v/>
      </c>
      <c r="F100" s="4">
        <f>IFERROR(INDEX('Usage Detail'!$F:$F,AGGREGATE(15,6,ROW('Usage Detail'!$A$5:$A$204)/(('Usage Detail'!$B$5:$B$204="Tasting")+('Usage Detail'!$B$5:$B$204="Promotional")),ROW(A92))),"")</f>
        <v/>
      </c>
      <c r="G100" s="4">
        <f>IFERROR(INDEX('Usage Detail'!$G:$G,AGGREGATE(15,6,ROW('Usage Detail'!$A$5:$A$204)/(('Usage Detail'!$B$5:$B$204="Tasting")+('Usage Detail'!$B$5:$B$204="Promotional")),ROW(A92))),"")</f>
        <v/>
      </c>
      <c r="H100" s="4">
        <f>IFERROR(INDEX('Usage Detail'!$H:$H,AGGREGATE(15,6,ROW('Usage Detail'!$A$5:$A$204)/(('Usage Detail'!$B$5:$B$204="Tasting")+('Usage Detail'!$B$5:$B$204="Promotional")),ROW(A92))),"")</f>
        <v/>
      </c>
    </row>
    <row r="101">
      <c r="A101" s="3">
        <f>IFERROR(INDEX('Usage Detail'!$A:$A,AGGREGATE(15,6,ROW('Usage Detail'!$A$5:$A$204)/(('Usage Detail'!$B$5:$B$204="Tasting")+('Usage Detail'!$B$5:$B$204="Promotional")),ROW(A93))),"")</f>
        <v/>
      </c>
      <c r="B101" s="3">
        <f>IFERROR(INDEX('Usage Detail'!$B:$B,AGGREGATE(15,6,ROW('Usage Detail'!$A$5:$A$204)/(('Usage Detail'!$B$5:$B$204="Tasting")+('Usage Detail'!$B$5:$B$204="Promotional")),ROW(A93))),"")</f>
        <v/>
      </c>
      <c r="C101" s="3">
        <f>IFERROR(INDEX('Usage Detail'!$C:$C,AGGREGATE(15,6,ROW('Usage Detail'!$A$5:$A$204)/(('Usage Detail'!$B$5:$B$204="Tasting")+('Usage Detail'!$B$5:$B$204="Promotional")),ROW(A93))),"")</f>
        <v/>
      </c>
      <c r="D101" s="3">
        <f>IFERROR(INDEX('Usage Detail'!$D:$D,AGGREGATE(15,6,ROW('Usage Detail'!$A$5:$A$204)/(('Usage Detail'!$B$5:$B$204="Tasting")+('Usage Detail'!$B$5:$B$204="Promotional")),ROW(A93))),"")</f>
        <v/>
      </c>
      <c r="E101" s="4">
        <f>IFERROR(INDEX('Usage Detail'!$E:$E,AGGREGATE(15,6,ROW('Usage Detail'!$A$5:$A$204)/(('Usage Detail'!$B$5:$B$204="Tasting")+('Usage Detail'!$B$5:$B$204="Promotional")),ROW(A93))),"")</f>
        <v/>
      </c>
      <c r="F101" s="4">
        <f>IFERROR(INDEX('Usage Detail'!$F:$F,AGGREGATE(15,6,ROW('Usage Detail'!$A$5:$A$204)/(('Usage Detail'!$B$5:$B$204="Tasting")+('Usage Detail'!$B$5:$B$204="Promotional")),ROW(A93))),"")</f>
        <v/>
      </c>
      <c r="G101" s="4">
        <f>IFERROR(INDEX('Usage Detail'!$G:$G,AGGREGATE(15,6,ROW('Usage Detail'!$A$5:$A$204)/(('Usage Detail'!$B$5:$B$204="Tasting")+('Usage Detail'!$B$5:$B$204="Promotional")),ROW(A93))),"")</f>
        <v/>
      </c>
      <c r="H101" s="4">
        <f>IFERROR(INDEX('Usage Detail'!$H:$H,AGGREGATE(15,6,ROW('Usage Detail'!$A$5:$A$204)/(('Usage Detail'!$B$5:$B$204="Tasting")+('Usage Detail'!$B$5:$B$204="Promotional")),ROW(A93))),"")</f>
        <v/>
      </c>
    </row>
    <row r="102">
      <c r="A102" s="3">
        <f>IFERROR(INDEX('Usage Detail'!$A:$A,AGGREGATE(15,6,ROW('Usage Detail'!$A$5:$A$204)/(('Usage Detail'!$B$5:$B$204="Tasting")+('Usage Detail'!$B$5:$B$204="Promotional")),ROW(A94))),"")</f>
        <v/>
      </c>
      <c r="B102" s="3">
        <f>IFERROR(INDEX('Usage Detail'!$B:$B,AGGREGATE(15,6,ROW('Usage Detail'!$A$5:$A$204)/(('Usage Detail'!$B$5:$B$204="Tasting")+('Usage Detail'!$B$5:$B$204="Promotional")),ROW(A94))),"")</f>
        <v/>
      </c>
      <c r="C102" s="3">
        <f>IFERROR(INDEX('Usage Detail'!$C:$C,AGGREGATE(15,6,ROW('Usage Detail'!$A$5:$A$204)/(('Usage Detail'!$B$5:$B$204="Tasting")+('Usage Detail'!$B$5:$B$204="Promotional")),ROW(A94))),"")</f>
        <v/>
      </c>
      <c r="D102" s="3">
        <f>IFERROR(INDEX('Usage Detail'!$D:$D,AGGREGATE(15,6,ROW('Usage Detail'!$A$5:$A$204)/(('Usage Detail'!$B$5:$B$204="Tasting")+('Usage Detail'!$B$5:$B$204="Promotional")),ROW(A94))),"")</f>
        <v/>
      </c>
      <c r="E102" s="4">
        <f>IFERROR(INDEX('Usage Detail'!$E:$E,AGGREGATE(15,6,ROW('Usage Detail'!$A$5:$A$204)/(('Usage Detail'!$B$5:$B$204="Tasting")+('Usage Detail'!$B$5:$B$204="Promotional")),ROW(A94))),"")</f>
        <v/>
      </c>
      <c r="F102" s="4">
        <f>IFERROR(INDEX('Usage Detail'!$F:$F,AGGREGATE(15,6,ROW('Usage Detail'!$A$5:$A$204)/(('Usage Detail'!$B$5:$B$204="Tasting")+('Usage Detail'!$B$5:$B$204="Promotional")),ROW(A94))),"")</f>
        <v/>
      </c>
      <c r="G102" s="4">
        <f>IFERROR(INDEX('Usage Detail'!$G:$G,AGGREGATE(15,6,ROW('Usage Detail'!$A$5:$A$204)/(('Usage Detail'!$B$5:$B$204="Tasting")+('Usage Detail'!$B$5:$B$204="Promotional")),ROW(A94))),"")</f>
        <v/>
      </c>
      <c r="H102" s="4">
        <f>IFERROR(INDEX('Usage Detail'!$H:$H,AGGREGATE(15,6,ROW('Usage Detail'!$A$5:$A$204)/(('Usage Detail'!$B$5:$B$204="Tasting")+('Usage Detail'!$B$5:$B$204="Promotional")),ROW(A94))),"")</f>
        <v/>
      </c>
    </row>
    <row r="103">
      <c r="A103" s="3">
        <f>IFERROR(INDEX('Usage Detail'!$A:$A,AGGREGATE(15,6,ROW('Usage Detail'!$A$5:$A$204)/(('Usage Detail'!$B$5:$B$204="Tasting")+('Usage Detail'!$B$5:$B$204="Promotional")),ROW(A95))),"")</f>
        <v/>
      </c>
      <c r="B103" s="3">
        <f>IFERROR(INDEX('Usage Detail'!$B:$B,AGGREGATE(15,6,ROW('Usage Detail'!$A$5:$A$204)/(('Usage Detail'!$B$5:$B$204="Tasting")+('Usage Detail'!$B$5:$B$204="Promotional")),ROW(A95))),"")</f>
        <v/>
      </c>
      <c r="C103" s="3">
        <f>IFERROR(INDEX('Usage Detail'!$C:$C,AGGREGATE(15,6,ROW('Usage Detail'!$A$5:$A$204)/(('Usage Detail'!$B$5:$B$204="Tasting")+('Usage Detail'!$B$5:$B$204="Promotional")),ROW(A95))),"")</f>
        <v/>
      </c>
      <c r="D103" s="3">
        <f>IFERROR(INDEX('Usage Detail'!$D:$D,AGGREGATE(15,6,ROW('Usage Detail'!$A$5:$A$204)/(('Usage Detail'!$B$5:$B$204="Tasting")+('Usage Detail'!$B$5:$B$204="Promotional")),ROW(A95))),"")</f>
        <v/>
      </c>
      <c r="E103" s="4">
        <f>IFERROR(INDEX('Usage Detail'!$E:$E,AGGREGATE(15,6,ROW('Usage Detail'!$A$5:$A$204)/(('Usage Detail'!$B$5:$B$204="Tasting")+('Usage Detail'!$B$5:$B$204="Promotional")),ROW(A95))),"")</f>
        <v/>
      </c>
      <c r="F103" s="4">
        <f>IFERROR(INDEX('Usage Detail'!$F:$F,AGGREGATE(15,6,ROW('Usage Detail'!$A$5:$A$204)/(('Usage Detail'!$B$5:$B$204="Tasting")+('Usage Detail'!$B$5:$B$204="Promotional")),ROW(A95))),"")</f>
        <v/>
      </c>
      <c r="G103" s="4">
        <f>IFERROR(INDEX('Usage Detail'!$G:$G,AGGREGATE(15,6,ROW('Usage Detail'!$A$5:$A$204)/(('Usage Detail'!$B$5:$B$204="Tasting")+('Usage Detail'!$B$5:$B$204="Promotional")),ROW(A95))),"")</f>
        <v/>
      </c>
      <c r="H103" s="4">
        <f>IFERROR(INDEX('Usage Detail'!$H:$H,AGGREGATE(15,6,ROW('Usage Detail'!$A$5:$A$204)/(('Usage Detail'!$B$5:$B$204="Tasting")+('Usage Detail'!$B$5:$B$204="Promotional")),ROW(A95))),"")</f>
        <v/>
      </c>
    </row>
    <row r="104">
      <c r="A104" s="3">
        <f>IFERROR(INDEX('Usage Detail'!$A:$A,AGGREGATE(15,6,ROW('Usage Detail'!$A$5:$A$204)/(('Usage Detail'!$B$5:$B$204="Tasting")+('Usage Detail'!$B$5:$B$204="Promotional")),ROW(A96))),"")</f>
        <v/>
      </c>
      <c r="B104" s="3">
        <f>IFERROR(INDEX('Usage Detail'!$B:$B,AGGREGATE(15,6,ROW('Usage Detail'!$A$5:$A$204)/(('Usage Detail'!$B$5:$B$204="Tasting")+('Usage Detail'!$B$5:$B$204="Promotional")),ROW(A96))),"")</f>
        <v/>
      </c>
      <c r="C104" s="3">
        <f>IFERROR(INDEX('Usage Detail'!$C:$C,AGGREGATE(15,6,ROW('Usage Detail'!$A$5:$A$204)/(('Usage Detail'!$B$5:$B$204="Tasting")+('Usage Detail'!$B$5:$B$204="Promotional")),ROW(A96))),"")</f>
        <v/>
      </c>
      <c r="D104" s="3">
        <f>IFERROR(INDEX('Usage Detail'!$D:$D,AGGREGATE(15,6,ROW('Usage Detail'!$A$5:$A$204)/(('Usage Detail'!$B$5:$B$204="Tasting")+('Usage Detail'!$B$5:$B$204="Promotional")),ROW(A96))),"")</f>
        <v/>
      </c>
      <c r="E104" s="4">
        <f>IFERROR(INDEX('Usage Detail'!$E:$E,AGGREGATE(15,6,ROW('Usage Detail'!$A$5:$A$204)/(('Usage Detail'!$B$5:$B$204="Tasting")+('Usage Detail'!$B$5:$B$204="Promotional")),ROW(A96))),"")</f>
        <v/>
      </c>
      <c r="F104" s="4">
        <f>IFERROR(INDEX('Usage Detail'!$F:$F,AGGREGATE(15,6,ROW('Usage Detail'!$A$5:$A$204)/(('Usage Detail'!$B$5:$B$204="Tasting")+('Usage Detail'!$B$5:$B$204="Promotional")),ROW(A96))),"")</f>
        <v/>
      </c>
      <c r="G104" s="4">
        <f>IFERROR(INDEX('Usage Detail'!$G:$G,AGGREGATE(15,6,ROW('Usage Detail'!$A$5:$A$204)/(('Usage Detail'!$B$5:$B$204="Tasting")+('Usage Detail'!$B$5:$B$204="Promotional")),ROW(A96))),"")</f>
        <v/>
      </c>
      <c r="H104" s="4">
        <f>IFERROR(INDEX('Usage Detail'!$H:$H,AGGREGATE(15,6,ROW('Usage Detail'!$A$5:$A$204)/(('Usage Detail'!$B$5:$B$204="Tasting")+('Usage Detail'!$B$5:$B$204="Promotional")),ROW(A96))),"")</f>
        <v/>
      </c>
    </row>
    <row r="105">
      <c r="A105" s="3">
        <f>IFERROR(INDEX('Usage Detail'!$A:$A,AGGREGATE(15,6,ROW('Usage Detail'!$A$5:$A$204)/(('Usage Detail'!$B$5:$B$204="Tasting")+('Usage Detail'!$B$5:$B$204="Promotional")),ROW(A97))),"")</f>
        <v/>
      </c>
      <c r="B105" s="3">
        <f>IFERROR(INDEX('Usage Detail'!$B:$B,AGGREGATE(15,6,ROW('Usage Detail'!$A$5:$A$204)/(('Usage Detail'!$B$5:$B$204="Tasting")+('Usage Detail'!$B$5:$B$204="Promotional")),ROW(A97))),"")</f>
        <v/>
      </c>
      <c r="C105" s="3">
        <f>IFERROR(INDEX('Usage Detail'!$C:$C,AGGREGATE(15,6,ROW('Usage Detail'!$A$5:$A$204)/(('Usage Detail'!$B$5:$B$204="Tasting")+('Usage Detail'!$B$5:$B$204="Promotional")),ROW(A97))),"")</f>
        <v/>
      </c>
      <c r="D105" s="3">
        <f>IFERROR(INDEX('Usage Detail'!$D:$D,AGGREGATE(15,6,ROW('Usage Detail'!$A$5:$A$204)/(('Usage Detail'!$B$5:$B$204="Tasting")+('Usage Detail'!$B$5:$B$204="Promotional")),ROW(A97))),"")</f>
        <v/>
      </c>
      <c r="E105" s="4">
        <f>IFERROR(INDEX('Usage Detail'!$E:$E,AGGREGATE(15,6,ROW('Usage Detail'!$A$5:$A$204)/(('Usage Detail'!$B$5:$B$204="Tasting")+('Usage Detail'!$B$5:$B$204="Promotional")),ROW(A97))),"")</f>
        <v/>
      </c>
      <c r="F105" s="4">
        <f>IFERROR(INDEX('Usage Detail'!$F:$F,AGGREGATE(15,6,ROW('Usage Detail'!$A$5:$A$204)/(('Usage Detail'!$B$5:$B$204="Tasting")+('Usage Detail'!$B$5:$B$204="Promotional")),ROW(A97))),"")</f>
        <v/>
      </c>
      <c r="G105" s="4">
        <f>IFERROR(INDEX('Usage Detail'!$G:$G,AGGREGATE(15,6,ROW('Usage Detail'!$A$5:$A$204)/(('Usage Detail'!$B$5:$B$204="Tasting")+('Usage Detail'!$B$5:$B$204="Promotional")),ROW(A97))),"")</f>
        <v/>
      </c>
      <c r="H105" s="4">
        <f>IFERROR(INDEX('Usage Detail'!$H:$H,AGGREGATE(15,6,ROW('Usage Detail'!$A$5:$A$204)/(('Usage Detail'!$B$5:$B$204="Tasting")+('Usage Detail'!$B$5:$B$204="Promotional")),ROW(A97))),"")</f>
        <v/>
      </c>
    </row>
    <row r="106">
      <c r="A106" s="3">
        <f>IFERROR(INDEX('Usage Detail'!$A:$A,AGGREGATE(15,6,ROW('Usage Detail'!$A$5:$A$204)/(('Usage Detail'!$B$5:$B$204="Tasting")+('Usage Detail'!$B$5:$B$204="Promotional")),ROW(A98))),"")</f>
        <v/>
      </c>
      <c r="B106" s="3">
        <f>IFERROR(INDEX('Usage Detail'!$B:$B,AGGREGATE(15,6,ROW('Usage Detail'!$A$5:$A$204)/(('Usage Detail'!$B$5:$B$204="Tasting")+('Usage Detail'!$B$5:$B$204="Promotional")),ROW(A98))),"")</f>
        <v/>
      </c>
      <c r="C106" s="3">
        <f>IFERROR(INDEX('Usage Detail'!$C:$C,AGGREGATE(15,6,ROW('Usage Detail'!$A$5:$A$204)/(('Usage Detail'!$B$5:$B$204="Tasting")+('Usage Detail'!$B$5:$B$204="Promotional")),ROW(A98))),"")</f>
        <v/>
      </c>
      <c r="D106" s="3">
        <f>IFERROR(INDEX('Usage Detail'!$D:$D,AGGREGATE(15,6,ROW('Usage Detail'!$A$5:$A$204)/(('Usage Detail'!$B$5:$B$204="Tasting")+('Usage Detail'!$B$5:$B$204="Promotional")),ROW(A98))),"")</f>
        <v/>
      </c>
      <c r="E106" s="4">
        <f>IFERROR(INDEX('Usage Detail'!$E:$E,AGGREGATE(15,6,ROW('Usage Detail'!$A$5:$A$204)/(('Usage Detail'!$B$5:$B$204="Tasting")+('Usage Detail'!$B$5:$B$204="Promotional")),ROW(A98))),"")</f>
        <v/>
      </c>
      <c r="F106" s="4">
        <f>IFERROR(INDEX('Usage Detail'!$F:$F,AGGREGATE(15,6,ROW('Usage Detail'!$A$5:$A$204)/(('Usage Detail'!$B$5:$B$204="Tasting")+('Usage Detail'!$B$5:$B$204="Promotional")),ROW(A98))),"")</f>
        <v/>
      </c>
      <c r="G106" s="4">
        <f>IFERROR(INDEX('Usage Detail'!$G:$G,AGGREGATE(15,6,ROW('Usage Detail'!$A$5:$A$204)/(('Usage Detail'!$B$5:$B$204="Tasting")+('Usage Detail'!$B$5:$B$204="Promotional")),ROW(A98))),"")</f>
        <v/>
      </c>
      <c r="H106" s="4">
        <f>IFERROR(INDEX('Usage Detail'!$H:$H,AGGREGATE(15,6,ROW('Usage Detail'!$A$5:$A$204)/(('Usage Detail'!$B$5:$B$204="Tasting")+('Usage Detail'!$B$5:$B$204="Promotional")),ROW(A98))),"")</f>
        <v/>
      </c>
    </row>
    <row r="107">
      <c r="A107" s="3">
        <f>IFERROR(INDEX('Usage Detail'!$A:$A,AGGREGATE(15,6,ROW('Usage Detail'!$A$5:$A$204)/(('Usage Detail'!$B$5:$B$204="Tasting")+('Usage Detail'!$B$5:$B$204="Promotional")),ROW(A99))),"")</f>
        <v/>
      </c>
      <c r="B107" s="3">
        <f>IFERROR(INDEX('Usage Detail'!$B:$B,AGGREGATE(15,6,ROW('Usage Detail'!$A$5:$A$204)/(('Usage Detail'!$B$5:$B$204="Tasting")+('Usage Detail'!$B$5:$B$204="Promotional")),ROW(A99))),"")</f>
        <v/>
      </c>
      <c r="C107" s="3">
        <f>IFERROR(INDEX('Usage Detail'!$C:$C,AGGREGATE(15,6,ROW('Usage Detail'!$A$5:$A$204)/(('Usage Detail'!$B$5:$B$204="Tasting")+('Usage Detail'!$B$5:$B$204="Promotional")),ROW(A99))),"")</f>
        <v/>
      </c>
      <c r="D107" s="3">
        <f>IFERROR(INDEX('Usage Detail'!$D:$D,AGGREGATE(15,6,ROW('Usage Detail'!$A$5:$A$204)/(('Usage Detail'!$B$5:$B$204="Tasting")+('Usage Detail'!$B$5:$B$204="Promotional")),ROW(A99))),"")</f>
        <v/>
      </c>
      <c r="E107" s="4">
        <f>IFERROR(INDEX('Usage Detail'!$E:$E,AGGREGATE(15,6,ROW('Usage Detail'!$A$5:$A$204)/(('Usage Detail'!$B$5:$B$204="Tasting")+('Usage Detail'!$B$5:$B$204="Promotional")),ROW(A99))),"")</f>
        <v/>
      </c>
      <c r="F107" s="4">
        <f>IFERROR(INDEX('Usage Detail'!$F:$F,AGGREGATE(15,6,ROW('Usage Detail'!$A$5:$A$204)/(('Usage Detail'!$B$5:$B$204="Tasting")+('Usage Detail'!$B$5:$B$204="Promotional")),ROW(A99))),"")</f>
        <v/>
      </c>
      <c r="G107" s="4">
        <f>IFERROR(INDEX('Usage Detail'!$G:$G,AGGREGATE(15,6,ROW('Usage Detail'!$A$5:$A$204)/(('Usage Detail'!$B$5:$B$204="Tasting")+('Usage Detail'!$B$5:$B$204="Promotional")),ROW(A99))),"")</f>
        <v/>
      </c>
      <c r="H107" s="4">
        <f>IFERROR(INDEX('Usage Detail'!$H:$H,AGGREGATE(15,6,ROW('Usage Detail'!$A$5:$A$204)/(('Usage Detail'!$B$5:$B$204="Tasting")+('Usage Detail'!$B$5:$B$204="Promotional")),ROW(A99))),"")</f>
        <v/>
      </c>
    </row>
    <row r="108">
      <c r="A108" s="3">
        <f>IFERROR(INDEX('Usage Detail'!$A:$A,AGGREGATE(15,6,ROW('Usage Detail'!$A$5:$A$204)/(('Usage Detail'!$B$5:$B$204="Tasting")+('Usage Detail'!$B$5:$B$204="Promotional")),ROW(A100))),"")</f>
        <v/>
      </c>
      <c r="B108" s="3">
        <f>IFERROR(INDEX('Usage Detail'!$B:$B,AGGREGATE(15,6,ROW('Usage Detail'!$A$5:$A$204)/(('Usage Detail'!$B$5:$B$204="Tasting")+('Usage Detail'!$B$5:$B$204="Promotional")),ROW(A100))),"")</f>
        <v/>
      </c>
      <c r="C108" s="3">
        <f>IFERROR(INDEX('Usage Detail'!$C:$C,AGGREGATE(15,6,ROW('Usage Detail'!$A$5:$A$204)/(('Usage Detail'!$B$5:$B$204="Tasting")+('Usage Detail'!$B$5:$B$204="Promotional")),ROW(A100))),"")</f>
        <v/>
      </c>
      <c r="D108" s="3">
        <f>IFERROR(INDEX('Usage Detail'!$D:$D,AGGREGATE(15,6,ROW('Usage Detail'!$A$5:$A$204)/(('Usage Detail'!$B$5:$B$204="Tasting")+('Usage Detail'!$B$5:$B$204="Promotional")),ROW(A100))),"")</f>
        <v/>
      </c>
      <c r="E108" s="4">
        <f>IFERROR(INDEX('Usage Detail'!$E:$E,AGGREGATE(15,6,ROW('Usage Detail'!$A$5:$A$204)/(('Usage Detail'!$B$5:$B$204="Tasting")+('Usage Detail'!$B$5:$B$204="Promotional")),ROW(A100))),"")</f>
        <v/>
      </c>
      <c r="F108" s="4">
        <f>IFERROR(INDEX('Usage Detail'!$F:$F,AGGREGATE(15,6,ROW('Usage Detail'!$A$5:$A$204)/(('Usage Detail'!$B$5:$B$204="Tasting")+('Usage Detail'!$B$5:$B$204="Promotional")),ROW(A100))),"")</f>
        <v/>
      </c>
      <c r="G108" s="4">
        <f>IFERROR(INDEX('Usage Detail'!$G:$G,AGGREGATE(15,6,ROW('Usage Detail'!$A$5:$A$204)/(('Usage Detail'!$B$5:$B$204="Tasting")+('Usage Detail'!$B$5:$B$204="Promotional")),ROW(A100))),"")</f>
        <v/>
      </c>
      <c r="H108" s="4">
        <f>IFERROR(INDEX('Usage Detail'!$H:$H,AGGREGATE(15,6,ROW('Usage Detail'!$A$5:$A$204)/(('Usage Detail'!$B$5:$B$204="Tasting")+('Usage Detail'!$B$5:$B$204="Promotional")),ROW(A100))),"")</f>
        <v/>
      </c>
    </row>
    <row r="109">
      <c r="A109" s="3">
        <f>IFERROR(INDEX('Usage Detail'!$A:$A,AGGREGATE(15,6,ROW('Usage Detail'!$A$5:$A$204)/(('Usage Detail'!$B$5:$B$204="Tasting")+('Usage Detail'!$B$5:$B$204="Promotional")),ROW(A101))),"")</f>
        <v/>
      </c>
      <c r="B109" s="3">
        <f>IFERROR(INDEX('Usage Detail'!$B:$B,AGGREGATE(15,6,ROW('Usage Detail'!$A$5:$A$204)/(('Usage Detail'!$B$5:$B$204="Tasting")+('Usage Detail'!$B$5:$B$204="Promotional")),ROW(A101))),"")</f>
        <v/>
      </c>
      <c r="C109" s="3">
        <f>IFERROR(INDEX('Usage Detail'!$C:$C,AGGREGATE(15,6,ROW('Usage Detail'!$A$5:$A$204)/(('Usage Detail'!$B$5:$B$204="Tasting")+('Usage Detail'!$B$5:$B$204="Promotional")),ROW(A101))),"")</f>
        <v/>
      </c>
      <c r="D109" s="3">
        <f>IFERROR(INDEX('Usage Detail'!$D:$D,AGGREGATE(15,6,ROW('Usage Detail'!$A$5:$A$204)/(('Usage Detail'!$B$5:$B$204="Tasting")+('Usage Detail'!$B$5:$B$204="Promotional")),ROW(A101))),"")</f>
        <v/>
      </c>
      <c r="E109" s="4">
        <f>IFERROR(INDEX('Usage Detail'!$E:$E,AGGREGATE(15,6,ROW('Usage Detail'!$A$5:$A$204)/(('Usage Detail'!$B$5:$B$204="Tasting")+('Usage Detail'!$B$5:$B$204="Promotional")),ROW(A101))),"")</f>
        <v/>
      </c>
      <c r="F109" s="4">
        <f>IFERROR(INDEX('Usage Detail'!$F:$F,AGGREGATE(15,6,ROW('Usage Detail'!$A$5:$A$204)/(('Usage Detail'!$B$5:$B$204="Tasting")+('Usage Detail'!$B$5:$B$204="Promotional")),ROW(A101))),"")</f>
        <v/>
      </c>
      <c r="G109" s="4">
        <f>IFERROR(INDEX('Usage Detail'!$G:$G,AGGREGATE(15,6,ROW('Usage Detail'!$A$5:$A$204)/(('Usage Detail'!$B$5:$B$204="Tasting")+('Usage Detail'!$B$5:$B$204="Promotional")),ROW(A101))),"")</f>
        <v/>
      </c>
      <c r="H109" s="4">
        <f>IFERROR(INDEX('Usage Detail'!$H:$H,AGGREGATE(15,6,ROW('Usage Detail'!$A$5:$A$204)/(('Usage Detail'!$B$5:$B$204="Tasting")+('Usage Detail'!$B$5:$B$204="Promotional")),ROW(A101))),"")</f>
        <v/>
      </c>
    </row>
    <row r="110">
      <c r="A110" s="3">
        <f>IFERROR(INDEX('Usage Detail'!$A:$A,AGGREGATE(15,6,ROW('Usage Detail'!$A$5:$A$204)/(('Usage Detail'!$B$5:$B$204="Tasting")+('Usage Detail'!$B$5:$B$204="Promotional")),ROW(A102))),"")</f>
        <v/>
      </c>
      <c r="B110" s="3">
        <f>IFERROR(INDEX('Usage Detail'!$B:$B,AGGREGATE(15,6,ROW('Usage Detail'!$A$5:$A$204)/(('Usage Detail'!$B$5:$B$204="Tasting")+('Usage Detail'!$B$5:$B$204="Promotional")),ROW(A102))),"")</f>
        <v/>
      </c>
      <c r="C110" s="3">
        <f>IFERROR(INDEX('Usage Detail'!$C:$C,AGGREGATE(15,6,ROW('Usage Detail'!$A$5:$A$204)/(('Usage Detail'!$B$5:$B$204="Tasting")+('Usage Detail'!$B$5:$B$204="Promotional")),ROW(A102))),"")</f>
        <v/>
      </c>
      <c r="D110" s="3">
        <f>IFERROR(INDEX('Usage Detail'!$D:$D,AGGREGATE(15,6,ROW('Usage Detail'!$A$5:$A$204)/(('Usage Detail'!$B$5:$B$204="Tasting")+('Usage Detail'!$B$5:$B$204="Promotional")),ROW(A102))),"")</f>
        <v/>
      </c>
      <c r="E110" s="4">
        <f>IFERROR(INDEX('Usage Detail'!$E:$E,AGGREGATE(15,6,ROW('Usage Detail'!$A$5:$A$204)/(('Usage Detail'!$B$5:$B$204="Tasting")+('Usage Detail'!$B$5:$B$204="Promotional")),ROW(A102))),"")</f>
        <v/>
      </c>
      <c r="F110" s="4">
        <f>IFERROR(INDEX('Usage Detail'!$F:$F,AGGREGATE(15,6,ROW('Usage Detail'!$A$5:$A$204)/(('Usage Detail'!$B$5:$B$204="Tasting")+('Usage Detail'!$B$5:$B$204="Promotional")),ROW(A102))),"")</f>
        <v/>
      </c>
      <c r="G110" s="4">
        <f>IFERROR(INDEX('Usage Detail'!$G:$G,AGGREGATE(15,6,ROW('Usage Detail'!$A$5:$A$204)/(('Usage Detail'!$B$5:$B$204="Tasting")+('Usage Detail'!$B$5:$B$204="Promotional")),ROW(A102))),"")</f>
        <v/>
      </c>
      <c r="H110" s="4">
        <f>IFERROR(INDEX('Usage Detail'!$H:$H,AGGREGATE(15,6,ROW('Usage Detail'!$A$5:$A$204)/(('Usage Detail'!$B$5:$B$204="Tasting")+('Usage Detail'!$B$5:$B$204="Promotional")),ROW(A102))),"")</f>
        <v/>
      </c>
    </row>
    <row r="111">
      <c r="A111" s="3">
        <f>IFERROR(INDEX('Usage Detail'!$A:$A,AGGREGATE(15,6,ROW('Usage Detail'!$A$5:$A$204)/(('Usage Detail'!$B$5:$B$204="Tasting")+('Usage Detail'!$B$5:$B$204="Promotional")),ROW(A103))),"")</f>
        <v/>
      </c>
      <c r="B111" s="3">
        <f>IFERROR(INDEX('Usage Detail'!$B:$B,AGGREGATE(15,6,ROW('Usage Detail'!$A$5:$A$204)/(('Usage Detail'!$B$5:$B$204="Tasting")+('Usage Detail'!$B$5:$B$204="Promotional")),ROW(A103))),"")</f>
        <v/>
      </c>
      <c r="C111" s="3">
        <f>IFERROR(INDEX('Usage Detail'!$C:$C,AGGREGATE(15,6,ROW('Usage Detail'!$A$5:$A$204)/(('Usage Detail'!$B$5:$B$204="Tasting")+('Usage Detail'!$B$5:$B$204="Promotional")),ROW(A103))),"")</f>
        <v/>
      </c>
      <c r="D111" s="3">
        <f>IFERROR(INDEX('Usage Detail'!$D:$D,AGGREGATE(15,6,ROW('Usage Detail'!$A$5:$A$204)/(('Usage Detail'!$B$5:$B$204="Tasting")+('Usage Detail'!$B$5:$B$204="Promotional")),ROW(A103))),"")</f>
        <v/>
      </c>
      <c r="E111" s="4">
        <f>IFERROR(INDEX('Usage Detail'!$E:$E,AGGREGATE(15,6,ROW('Usage Detail'!$A$5:$A$204)/(('Usage Detail'!$B$5:$B$204="Tasting")+('Usage Detail'!$B$5:$B$204="Promotional")),ROW(A103))),"")</f>
        <v/>
      </c>
      <c r="F111" s="4">
        <f>IFERROR(INDEX('Usage Detail'!$F:$F,AGGREGATE(15,6,ROW('Usage Detail'!$A$5:$A$204)/(('Usage Detail'!$B$5:$B$204="Tasting")+('Usage Detail'!$B$5:$B$204="Promotional")),ROW(A103))),"")</f>
        <v/>
      </c>
      <c r="G111" s="4">
        <f>IFERROR(INDEX('Usage Detail'!$G:$G,AGGREGATE(15,6,ROW('Usage Detail'!$A$5:$A$204)/(('Usage Detail'!$B$5:$B$204="Tasting")+('Usage Detail'!$B$5:$B$204="Promotional")),ROW(A103))),"")</f>
        <v/>
      </c>
      <c r="H111" s="4">
        <f>IFERROR(INDEX('Usage Detail'!$H:$H,AGGREGATE(15,6,ROW('Usage Detail'!$A$5:$A$204)/(('Usage Detail'!$B$5:$B$204="Tasting")+('Usage Detail'!$B$5:$B$204="Promotional")),ROW(A103))),"")</f>
        <v/>
      </c>
    </row>
    <row r="112">
      <c r="A112" s="3">
        <f>IFERROR(INDEX('Usage Detail'!$A:$A,AGGREGATE(15,6,ROW('Usage Detail'!$A$5:$A$204)/(('Usage Detail'!$B$5:$B$204="Tasting")+('Usage Detail'!$B$5:$B$204="Promotional")),ROW(A104))),"")</f>
        <v/>
      </c>
      <c r="B112" s="3">
        <f>IFERROR(INDEX('Usage Detail'!$B:$B,AGGREGATE(15,6,ROW('Usage Detail'!$A$5:$A$204)/(('Usage Detail'!$B$5:$B$204="Tasting")+('Usage Detail'!$B$5:$B$204="Promotional")),ROW(A104))),"")</f>
        <v/>
      </c>
      <c r="C112" s="3">
        <f>IFERROR(INDEX('Usage Detail'!$C:$C,AGGREGATE(15,6,ROW('Usage Detail'!$A$5:$A$204)/(('Usage Detail'!$B$5:$B$204="Tasting")+('Usage Detail'!$B$5:$B$204="Promotional")),ROW(A104))),"")</f>
        <v/>
      </c>
      <c r="D112" s="3">
        <f>IFERROR(INDEX('Usage Detail'!$D:$D,AGGREGATE(15,6,ROW('Usage Detail'!$A$5:$A$204)/(('Usage Detail'!$B$5:$B$204="Tasting")+('Usage Detail'!$B$5:$B$204="Promotional")),ROW(A104))),"")</f>
        <v/>
      </c>
      <c r="E112" s="4">
        <f>IFERROR(INDEX('Usage Detail'!$E:$E,AGGREGATE(15,6,ROW('Usage Detail'!$A$5:$A$204)/(('Usage Detail'!$B$5:$B$204="Tasting")+('Usage Detail'!$B$5:$B$204="Promotional")),ROW(A104))),"")</f>
        <v/>
      </c>
      <c r="F112" s="4">
        <f>IFERROR(INDEX('Usage Detail'!$F:$F,AGGREGATE(15,6,ROW('Usage Detail'!$A$5:$A$204)/(('Usage Detail'!$B$5:$B$204="Tasting")+('Usage Detail'!$B$5:$B$204="Promotional")),ROW(A104))),"")</f>
        <v/>
      </c>
      <c r="G112" s="4">
        <f>IFERROR(INDEX('Usage Detail'!$G:$G,AGGREGATE(15,6,ROW('Usage Detail'!$A$5:$A$204)/(('Usage Detail'!$B$5:$B$204="Tasting")+('Usage Detail'!$B$5:$B$204="Promotional")),ROW(A104))),"")</f>
        <v/>
      </c>
      <c r="H112" s="4">
        <f>IFERROR(INDEX('Usage Detail'!$H:$H,AGGREGATE(15,6,ROW('Usage Detail'!$A$5:$A$204)/(('Usage Detail'!$B$5:$B$204="Tasting")+('Usage Detail'!$B$5:$B$204="Promotional")),ROW(A104))),"")</f>
        <v/>
      </c>
    </row>
    <row r="113">
      <c r="A113" s="3">
        <f>IFERROR(INDEX('Usage Detail'!$A:$A,AGGREGATE(15,6,ROW('Usage Detail'!$A$5:$A$204)/(('Usage Detail'!$B$5:$B$204="Tasting")+('Usage Detail'!$B$5:$B$204="Promotional")),ROW(A105))),"")</f>
        <v/>
      </c>
      <c r="B113" s="3">
        <f>IFERROR(INDEX('Usage Detail'!$B:$B,AGGREGATE(15,6,ROW('Usage Detail'!$A$5:$A$204)/(('Usage Detail'!$B$5:$B$204="Tasting")+('Usage Detail'!$B$5:$B$204="Promotional")),ROW(A105))),"")</f>
        <v/>
      </c>
      <c r="C113" s="3">
        <f>IFERROR(INDEX('Usage Detail'!$C:$C,AGGREGATE(15,6,ROW('Usage Detail'!$A$5:$A$204)/(('Usage Detail'!$B$5:$B$204="Tasting")+('Usage Detail'!$B$5:$B$204="Promotional")),ROW(A105))),"")</f>
        <v/>
      </c>
      <c r="D113" s="3">
        <f>IFERROR(INDEX('Usage Detail'!$D:$D,AGGREGATE(15,6,ROW('Usage Detail'!$A$5:$A$204)/(('Usage Detail'!$B$5:$B$204="Tasting")+('Usage Detail'!$B$5:$B$204="Promotional")),ROW(A105))),"")</f>
        <v/>
      </c>
      <c r="E113" s="4">
        <f>IFERROR(INDEX('Usage Detail'!$E:$E,AGGREGATE(15,6,ROW('Usage Detail'!$A$5:$A$204)/(('Usage Detail'!$B$5:$B$204="Tasting")+('Usage Detail'!$B$5:$B$204="Promotional")),ROW(A105))),"")</f>
        <v/>
      </c>
      <c r="F113" s="4">
        <f>IFERROR(INDEX('Usage Detail'!$F:$F,AGGREGATE(15,6,ROW('Usage Detail'!$A$5:$A$204)/(('Usage Detail'!$B$5:$B$204="Tasting")+('Usage Detail'!$B$5:$B$204="Promotional")),ROW(A105))),"")</f>
        <v/>
      </c>
      <c r="G113" s="4">
        <f>IFERROR(INDEX('Usage Detail'!$G:$G,AGGREGATE(15,6,ROW('Usage Detail'!$A$5:$A$204)/(('Usage Detail'!$B$5:$B$204="Tasting")+('Usage Detail'!$B$5:$B$204="Promotional")),ROW(A105))),"")</f>
        <v/>
      </c>
      <c r="H113" s="4">
        <f>IFERROR(INDEX('Usage Detail'!$H:$H,AGGREGATE(15,6,ROW('Usage Detail'!$A$5:$A$204)/(('Usage Detail'!$B$5:$B$204="Tasting")+('Usage Detail'!$B$5:$B$204="Promotional")),ROW(A105))),"")</f>
        <v/>
      </c>
    </row>
    <row r="114">
      <c r="A114" s="3">
        <f>IFERROR(INDEX('Usage Detail'!$A:$A,AGGREGATE(15,6,ROW('Usage Detail'!$A$5:$A$204)/(('Usage Detail'!$B$5:$B$204="Tasting")+('Usage Detail'!$B$5:$B$204="Promotional")),ROW(A106))),"")</f>
        <v/>
      </c>
      <c r="B114" s="3">
        <f>IFERROR(INDEX('Usage Detail'!$B:$B,AGGREGATE(15,6,ROW('Usage Detail'!$A$5:$A$204)/(('Usage Detail'!$B$5:$B$204="Tasting")+('Usage Detail'!$B$5:$B$204="Promotional")),ROW(A106))),"")</f>
        <v/>
      </c>
      <c r="C114" s="3">
        <f>IFERROR(INDEX('Usage Detail'!$C:$C,AGGREGATE(15,6,ROW('Usage Detail'!$A$5:$A$204)/(('Usage Detail'!$B$5:$B$204="Tasting")+('Usage Detail'!$B$5:$B$204="Promotional")),ROW(A106))),"")</f>
        <v/>
      </c>
      <c r="D114" s="3">
        <f>IFERROR(INDEX('Usage Detail'!$D:$D,AGGREGATE(15,6,ROW('Usage Detail'!$A$5:$A$204)/(('Usage Detail'!$B$5:$B$204="Tasting")+('Usage Detail'!$B$5:$B$204="Promotional")),ROW(A106))),"")</f>
        <v/>
      </c>
      <c r="E114" s="4">
        <f>IFERROR(INDEX('Usage Detail'!$E:$E,AGGREGATE(15,6,ROW('Usage Detail'!$A$5:$A$204)/(('Usage Detail'!$B$5:$B$204="Tasting")+('Usage Detail'!$B$5:$B$204="Promotional")),ROW(A106))),"")</f>
        <v/>
      </c>
      <c r="F114" s="4">
        <f>IFERROR(INDEX('Usage Detail'!$F:$F,AGGREGATE(15,6,ROW('Usage Detail'!$A$5:$A$204)/(('Usage Detail'!$B$5:$B$204="Tasting")+('Usage Detail'!$B$5:$B$204="Promotional")),ROW(A106))),"")</f>
        <v/>
      </c>
      <c r="G114" s="4">
        <f>IFERROR(INDEX('Usage Detail'!$G:$G,AGGREGATE(15,6,ROW('Usage Detail'!$A$5:$A$204)/(('Usage Detail'!$B$5:$B$204="Tasting")+('Usage Detail'!$B$5:$B$204="Promotional")),ROW(A106))),"")</f>
        <v/>
      </c>
      <c r="H114" s="4">
        <f>IFERROR(INDEX('Usage Detail'!$H:$H,AGGREGATE(15,6,ROW('Usage Detail'!$A$5:$A$204)/(('Usage Detail'!$B$5:$B$204="Tasting")+('Usage Detail'!$B$5:$B$204="Promotional")),ROW(A106))),"")</f>
        <v/>
      </c>
    </row>
    <row r="115">
      <c r="A115" s="3">
        <f>IFERROR(INDEX('Usage Detail'!$A:$A,AGGREGATE(15,6,ROW('Usage Detail'!$A$5:$A$204)/(('Usage Detail'!$B$5:$B$204="Tasting")+('Usage Detail'!$B$5:$B$204="Promotional")),ROW(A107))),"")</f>
        <v/>
      </c>
      <c r="B115" s="3">
        <f>IFERROR(INDEX('Usage Detail'!$B:$B,AGGREGATE(15,6,ROW('Usage Detail'!$A$5:$A$204)/(('Usage Detail'!$B$5:$B$204="Tasting")+('Usage Detail'!$B$5:$B$204="Promotional")),ROW(A107))),"")</f>
        <v/>
      </c>
      <c r="C115" s="3">
        <f>IFERROR(INDEX('Usage Detail'!$C:$C,AGGREGATE(15,6,ROW('Usage Detail'!$A$5:$A$204)/(('Usage Detail'!$B$5:$B$204="Tasting")+('Usage Detail'!$B$5:$B$204="Promotional")),ROW(A107))),"")</f>
        <v/>
      </c>
      <c r="D115" s="3">
        <f>IFERROR(INDEX('Usage Detail'!$D:$D,AGGREGATE(15,6,ROW('Usage Detail'!$A$5:$A$204)/(('Usage Detail'!$B$5:$B$204="Tasting")+('Usage Detail'!$B$5:$B$204="Promotional")),ROW(A107))),"")</f>
        <v/>
      </c>
      <c r="E115" s="4">
        <f>IFERROR(INDEX('Usage Detail'!$E:$E,AGGREGATE(15,6,ROW('Usage Detail'!$A$5:$A$204)/(('Usage Detail'!$B$5:$B$204="Tasting")+('Usage Detail'!$B$5:$B$204="Promotional")),ROW(A107))),"")</f>
        <v/>
      </c>
      <c r="F115" s="4">
        <f>IFERROR(INDEX('Usage Detail'!$F:$F,AGGREGATE(15,6,ROW('Usage Detail'!$A$5:$A$204)/(('Usage Detail'!$B$5:$B$204="Tasting")+('Usage Detail'!$B$5:$B$204="Promotional")),ROW(A107))),"")</f>
        <v/>
      </c>
      <c r="G115" s="4">
        <f>IFERROR(INDEX('Usage Detail'!$G:$G,AGGREGATE(15,6,ROW('Usage Detail'!$A$5:$A$204)/(('Usage Detail'!$B$5:$B$204="Tasting")+('Usage Detail'!$B$5:$B$204="Promotional")),ROW(A107))),"")</f>
        <v/>
      </c>
      <c r="H115" s="4">
        <f>IFERROR(INDEX('Usage Detail'!$H:$H,AGGREGATE(15,6,ROW('Usage Detail'!$A$5:$A$204)/(('Usage Detail'!$B$5:$B$204="Tasting")+('Usage Detail'!$B$5:$B$204="Promotional")),ROW(A107))),"")</f>
        <v/>
      </c>
    </row>
    <row r="116">
      <c r="A116" s="3">
        <f>IFERROR(INDEX('Usage Detail'!$A:$A,AGGREGATE(15,6,ROW('Usage Detail'!$A$5:$A$204)/(('Usage Detail'!$B$5:$B$204="Tasting")+('Usage Detail'!$B$5:$B$204="Promotional")),ROW(A108))),"")</f>
        <v/>
      </c>
      <c r="B116" s="3">
        <f>IFERROR(INDEX('Usage Detail'!$B:$B,AGGREGATE(15,6,ROW('Usage Detail'!$A$5:$A$204)/(('Usage Detail'!$B$5:$B$204="Tasting")+('Usage Detail'!$B$5:$B$204="Promotional")),ROW(A108))),"")</f>
        <v/>
      </c>
      <c r="C116" s="3">
        <f>IFERROR(INDEX('Usage Detail'!$C:$C,AGGREGATE(15,6,ROW('Usage Detail'!$A$5:$A$204)/(('Usage Detail'!$B$5:$B$204="Tasting")+('Usage Detail'!$B$5:$B$204="Promotional")),ROW(A108))),"")</f>
        <v/>
      </c>
      <c r="D116" s="3">
        <f>IFERROR(INDEX('Usage Detail'!$D:$D,AGGREGATE(15,6,ROW('Usage Detail'!$A$5:$A$204)/(('Usage Detail'!$B$5:$B$204="Tasting")+('Usage Detail'!$B$5:$B$204="Promotional")),ROW(A108))),"")</f>
        <v/>
      </c>
      <c r="E116" s="4">
        <f>IFERROR(INDEX('Usage Detail'!$E:$E,AGGREGATE(15,6,ROW('Usage Detail'!$A$5:$A$204)/(('Usage Detail'!$B$5:$B$204="Tasting")+('Usage Detail'!$B$5:$B$204="Promotional")),ROW(A108))),"")</f>
        <v/>
      </c>
      <c r="F116" s="4">
        <f>IFERROR(INDEX('Usage Detail'!$F:$F,AGGREGATE(15,6,ROW('Usage Detail'!$A$5:$A$204)/(('Usage Detail'!$B$5:$B$204="Tasting")+('Usage Detail'!$B$5:$B$204="Promotional")),ROW(A108))),"")</f>
        <v/>
      </c>
      <c r="G116" s="4">
        <f>IFERROR(INDEX('Usage Detail'!$G:$G,AGGREGATE(15,6,ROW('Usage Detail'!$A$5:$A$204)/(('Usage Detail'!$B$5:$B$204="Tasting")+('Usage Detail'!$B$5:$B$204="Promotional")),ROW(A108))),"")</f>
        <v/>
      </c>
      <c r="H116" s="4">
        <f>IFERROR(INDEX('Usage Detail'!$H:$H,AGGREGATE(15,6,ROW('Usage Detail'!$A$5:$A$204)/(('Usage Detail'!$B$5:$B$204="Tasting")+('Usage Detail'!$B$5:$B$204="Promotional")),ROW(A108))),"")</f>
        <v/>
      </c>
    </row>
    <row r="117">
      <c r="A117" s="3">
        <f>IFERROR(INDEX('Usage Detail'!$A:$A,AGGREGATE(15,6,ROW('Usage Detail'!$A$5:$A$204)/(('Usage Detail'!$B$5:$B$204="Tasting")+('Usage Detail'!$B$5:$B$204="Promotional")),ROW(A109))),"")</f>
        <v/>
      </c>
      <c r="B117" s="3">
        <f>IFERROR(INDEX('Usage Detail'!$B:$B,AGGREGATE(15,6,ROW('Usage Detail'!$A$5:$A$204)/(('Usage Detail'!$B$5:$B$204="Tasting")+('Usage Detail'!$B$5:$B$204="Promotional")),ROW(A109))),"")</f>
        <v/>
      </c>
      <c r="C117" s="3">
        <f>IFERROR(INDEX('Usage Detail'!$C:$C,AGGREGATE(15,6,ROW('Usage Detail'!$A$5:$A$204)/(('Usage Detail'!$B$5:$B$204="Tasting")+('Usage Detail'!$B$5:$B$204="Promotional")),ROW(A109))),"")</f>
        <v/>
      </c>
      <c r="D117" s="3">
        <f>IFERROR(INDEX('Usage Detail'!$D:$D,AGGREGATE(15,6,ROW('Usage Detail'!$A$5:$A$204)/(('Usage Detail'!$B$5:$B$204="Tasting")+('Usage Detail'!$B$5:$B$204="Promotional")),ROW(A109))),"")</f>
        <v/>
      </c>
      <c r="E117" s="4">
        <f>IFERROR(INDEX('Usage Detail'!$E:$E,AGGREGATE(15,6,ROW('Usage Detail'!$A$5:$A$204)/(('Usage Detail'!$B$5:$B$204="Tasting")+('Usage Detail'!$B$5:$B$204="Promotional")),ROW(A109))),"")</f>
        <v/>
      </c>
      <c r="F117" s="4">
        <f>IFERROR(INDEX('Usage Detail'!$F:$F,AGGREGATE(15,6,ROW('Usage Detail'!$A$5:$A$204)/(('Usage Detail'!$B$5:$B$204="Tasting")+('Usage Detail'!$B$5:$B$204="Promotional")),ROW(A109))),"")</f>
        <v/>
      </c>
      <c r="G117" s="4">
        <f>IFERROR(INDEX('Usage Detail'!$G:$G,AGGREGATE(15,6,ROW('Usage Detail'!$A$5:$A$204)/(('Usage Detail'!$B$5:$B$204="Tasting")+('Usage Detail'!$B$5:$B$204="Promotional")),ROW(A109))),"")</f>
        <v/>
      </c>
      <c r="H117" s="4">
        <f>IFERROR(INDEX('Usage Detail'!$H:$H,AGGREGATE(15,6,ROW('Usage Detail'!$A$5:$A$204)/(('Usage Detail'!$B$5:$B$204="Tasting")+('Usage Detail'!$B$5:$B$204="Promotional")),ROW(A109))),"")</f>
        <v/>
      </c>
    </row>
    <row r="118">
      <c r="A118" s="3">
        <f>IFERROR(INDEX('Usage Detail'!$A:$A,AGGREGATE(15,6,ROW('Usage Detail'!$A$5:$A$204)/(('Usage Detail'!$B$5:$B$204="Tasting")+('Usage Detail'!$B$5:$B$204="Promotional")),ROW(A110))),"")</f>
        <v/>
      </c>
      <c r="B118" s="3">
        <f>IFERROR(INDEX('Usage Detail'!$B:$B,AGGREGATE(15,6,ROW('Usage Detail'!$A$5:$A$204)/(('Usage Detail'!$B$5:$B$204="Tasting")+('Usage Detail'!$B$5:$B$204="Promotional")),ROW(A110))),"")</f>
        <v/>
      </c>
      <c r="C118" s="3">
        <f>IFERROR(INDEX('Usage Detail'!$C:$C,AGGREGATE(15,6,ROW('Usage Detail'!$A$5:$A$204)/(('Usage Detail'!$B$5:$B$204="Tasting")+('Usage Detail'!$B$5:$B$204="Promotional")),ROW(A110))),"")</f>
        <v/>
      </c>
      <c r="D118" s="3">
        <f>IFERROR(INDEX('Usage Detail'!$D:$D,AGGREGATE(15,6,ROW('Usage Detail'!$A$5:$A$204)/(('Usage Detail'!$B$5:$B$204="Tasting")+('Usage Detail'!$B$5:$B$204="Promotional")),ROW(A110))),"")</f>
        <v/>
      </c>
      <c r="E118" s="4">
        <f>IFERROR(INDEX('Usage Detail'!$E:$E,AGGREGATE(15,6,ROW('Usage Detail'!$A$5:$A$204)/(('Usage Detail'!$B$5:$B$204="Tasting")+('Usage Detail'!$B$5:$B$204="Promotional")),ROW(A110))),"")</f>
        <v/>
      </c>
      <c r="F118" s="4">
        <f>IFERROR(INDEX('Usage Detail'!$F:$F,AGGREGATE(15,6,ROW('Usage Detail'!$A$5:$A$204)/(('Usage Detail'!$B$5:$B$204="Tasting")+('Usage Detail'!$B$5:$B$204="Promotional")),ROW(A110))),"")</f>
        <v/>
      </c>
      <c r="G118" s="4">
        <f>IFERROR(INDEX('Usage Detail'!$G:$G,AGGREGATE(15,6,ROW('Usage Detail'!$A$5:$A$204)/(('Usage Detail'!$B$5:$B$204="Tasting")+('Usage Detail'!$B$5:$B$204="Promotional")),ROW(A110))),"")</f>
        <v/>
      </c>
      <c r="H118" s="4">
        <f>IFERROR(INDEX('Usage Detail'!$H:$H,AGGREGATE(15,6,ROW('Usage Detail'!$A$5:$A$204)/(('Usage Detail'!$B$5:$B$204="Tasting")+('Usage Detail'!$B$5:$B$204="Promotional")),ROW(A110))),"")</f>
        <v/>
      </c>
    </row>
    <row r="119">
      <c r="A119" s="3">
        <f>IFERROR(INDEX('Usage Detail'!$A:$A,AGGREGATE(15,6,ROW('Usage Detail'!$A$5:$A$204)/(('Usage Detail'!$B$5:$B$204="Tasting")+('Usage Detail'!$B$5:$B$204="Promotional")),ROW(A111))),"")</f>
        <v/>
      </c>
      <c r="B119" s="3">
        <f>IFERROR(INDEX('Usage Detail'!$B:$B,AGGREGATE(15,6,ROW('Usage Detail'!$A$5:$A$204)/(('Usage Detail'!$B$5:$B$204="Tasting")+('Usage Detail'!$B$5:$B$204="Promotional")),ROW(A111))),"")</f>
        <v/>
      </c>
      <c r="C119" s="3">
        <f>IFERROR(INDEX('Usage Detail'!$C:$C,AGGREGATE(15,6,ROW('Usage Detail'!$A$5:$A$204)/(('Usage Detail'!$B$5:$B$204="Tasting")+('Usage Detail'!$B$5:$B$204="Promotional")),ROW(A111))),"")</f>
        <v/>
      </c>
      <c r="D119" s="3">
        <f>IFERROR(INDEX('Usage Detail'!$D:$D,AGGREGATE(15,6,ROW('Usage Detail'!$A$5:$A$204)/(('Usage Detail'!$B$5:$B$204="Tasting")+('Usage Detail'!$B$5:$B$204="Promotional")),ROW(A111))),"")</f>
        <v/>
      </c>
      <c r="E119" s="4">
        <f>IFERROR(INDEX('Usage Detail'!$E:$E,AGGREGATE(15,6,ROW('Usage Detail'!$A$5:$A$204)/(('Usage Detail'!$B$5:$B$204="Tasting")+('Usage Detail'!$B$5:$B$204="Promotional")),ROW(A111))),"")</f>
        <v/>
      </c>
      <c r="F119" s="4">
        <f>IFERROR(INDEX('Usage Detail'!$F:$F,AGGREGATE(15,6,ROW('Usage Detail'!$A$5:$A$204)/(('Usage Detail'!$B$5:$B$204="Tasting")+('Usage Detail'!$B$5:$B$204="Promotional")),ROW(A111))),"")</f>
        <v/>
      </c>
      <c r="G119" s="4">
        <f>IFERROR(INDEX('Usage Detail'!$G:$G,AGGREGATE(15,6,ROW('Usage Detail'!$A$5:$A$204)/(('Usage Detail'!$B$5:$B$204="Tasting")+('Usage Detail'!$B$5:$B$204="Promotional")),ROW(A111))),"")</f>
        <v/>
      </c>
      <c r="H119" s="4">
        <f>IFERROR(INDEX('Usage Detail'!$H:$H,AGGREGATE(15,6,ROW('Usage Detail'!$A$5:$A$204)/(('Usage Detail'!$B$5:$B$204="Tasting")+('Usage Detail'!$B$5:$B$204="Promotional")),ROW(A111))),"")</f>
        <v/>
      </c>
    </row>
    <row r="120">
      <c r="A120" s="3">
        <f>IFERROR(INDEX('Usage Detail'!$A:$A,AGGREGATE(15,6,ROW('Usage Detail'!$A$5:$A$204)/(('Usage Detail'!$B$5:$B$204="Tasting")+('Usage Detail'!$B$5:$B$204="Promotional")),ROW(A112))),"")</f>
        <v/>
      </c>
      <c r="B120" s="3">
        <f>IFERROR(INDEX('Usage Detail'!$B:$B,AGGREGATE(15,6,ROW('Usage Detail'!$A$5:$A$204)/(('Usage Detail'!$B$5:$B$204="Tasting")+('Usage Detail'!$B$5:$B$204="Promotional")),ROW(A112))),"")</f>
        <v/>
      </c>
      <c r="C120" s="3">
        <f>IFERROR(INDEX('Usage Detail'!$C:$C,AGGREGATE(15,6,ROW('Usage Detail'!$A$5:$A$204)/(('Usage Detail'!$B$5:$B$204="Tasting")+('Usage Detail'!$B$5:$B$204="Promotional")),ROW(A112))),"")</f>
        <v/>
      </c>
      <c r="D120" s="3">
        <f>IFERROR(INDEX('Usage Detail'!$D:$D,AGGREGATE(15,6,ROW('Usage Detail'!$A$5:$A$204)/(('Usage Detail'!$B$5:$B$204="Tasting")+('Usage Detail'!$B$5:$B$204="Promotional")),ROW(A112))),"")</f>
        <v/>
      </c>
      <c r="E120" s="4">
        <f>IFERROR(INDEX('Usage Detail'!$E:$E,AGGREGATE(15,6,ROW('Usage Detail'!$A$5:$A$204)/(('Usage Detail'!$B$5:$B$204="Tasting")+('Usage Detail'!$B$5:$B$204="Promotional")),ROW(A112))),"")</f>
        <v/>
      </c>
      <c r="F120" s="4">
        <f>IFERROR(INDEX('Usage Detail'!$F:$F,AGGREGATE(15,6,ROW('Usage Detail'!$A$5:$A$204)/(('Usage Detail'!$B$5:$B$204="Tasting")+('Usage Detail'!$B$5:$B$204="Promotional")),ROW(A112))),"")</f>
        <v/>
      </c>
      <c r="G120" s="4">
        <f>IFERROR(INDEX('Usage Detail'!$G:$G,AGGREGATE(15,6,ROW('Usage Detail'!$A$5:$A$204)/(('Usage Detail'!$B$5:$B$204="Tasting")+('Usage Detail'!$B$5:$B$204="Promotional")),ROW(A112))),"")</f>
        <v/>
      </c>
      <c r="H120" s="4">
        <f>IFERROR(INDEX('Usage Detail'!$H:$H,AGGREGATE(15,6,ROW('Usage Detail'!$A$5:$A$204)/(('Usage Detail'!$B$5:$B$204="Tasting")+('Usage Detail'!$B$5:$B$204="Promotional")),ROW(A112))),"")</f>
        <v/>
      </c>
    </row>
    <row r="121">
      <c r="A121" s="3">
        <f>IFERROR(INDEX('Usage Detail'!$A:$A,AGGREGATE(15,6,ROW('Usage Detail'!$A$5:$A$204)/(('Usage Detail'!$B$5:$B$204="Tasting")+('Usage Detail'!$B$5:$B$204="Promotional")),ROW(A113))),"")</f>
        <v/>
      </c>
      <c r="B121" s="3">
        <f>IFERROR(INDEX('Usage Detail'!$B:$B,AGGREGATE(15,6,ROW('Usage Detail'!$A$5:$A$204)/(('Usage Detail'!$B$5:$B$204="Tasting")+('Usage Detail'!$B$5:$B$204="Promotional")),ROW(A113))),"")</f>
        <v/>
      </c>
      <c r="C121" s="3">
        <f>IFERROR(INDEX('Usage Detail'!$C:$C,AGGREGATE(15,6,ROW('Usage Detail'!$A$5:$A$204)/(('Usage Detail'!$B$5:$B$204="Tasting")+('Usage Detail'!$B$5:$B$204="Promotional")),ROW(A113))),"")</f>
        <v/>
      </c>
      <c r="D121" s="3">
        <f>IFERROR(INDEX('Usage Detail'!$D:$D,AGGREGATE(15,6,ROW('Usage Detail'!$A$5:$A$204)/(('Usage Detail'!$B$5:$B$204="Tasting")+('Usage Detail'!$B$5:$B$204="Promotional")),ROW(A113))),"")</f>
        <v/>
      </c>
      <c r="E121" s="4">
        <f>IFERROR(INDEX('Usage Detail'!$E:$E,AGGREGATE(15,6,ROW('Usage Detail'!$A$5:$A$204)/(('Usage Detail'!$B$5:$B$204="Tasting")+('Usage Detail'!$B$5:$B$204="Promotional")),ROW(A113))),"")</f>
        <v/>
      </c>
      <c r="F121" s="4">
        <f>IFERROR(INDEX('Usage Detail'!$F:$F,AGGREGATE(15,6,ROW('Usage Detail'!$A$5:$A$204)/(('Usage Detail'!$B$5:$B$204="Tasting")+('Usage Detail'!$B$5:$B$204="Promotional")),ROW(A113))),"")</f>
        <v/>
      </c>
      <c r="G121" s="4">
        <f>IFERROR(INDEX('Usage Detail'!$G:$G,AGGREGATE(15,6,ROW('Usage Detail'!$A$5:$A$204)/(('Usage Detail'!$B$5:$B$204="Tasting")+('Usage Detail'!$B$5:$B$204="Promotional")),ROW(A113))),"")</f>
        <v/>
      </c>
      <c r="H121" s="4">
        <f>IFERROR(INDEX('Usage Detail'!$H:$H,AGGREGATE(15,6,ROW('Usage Detail'!$A$5:$A$204)/(('Usage Detail'!$B$5:$B$204="Tasting")+('Usage Detail'!$B$5:$B$204="Promotional")),ROW(A113))),"")</f>
        <v/>
      </c>
    </row>
    <row r="122">
      <c r="A122" s="3">
        <f>IFERROR(INDEX('Usage Detail'!$A:$A,AGGREGATE(15,6,ROW('Usage Detail'!$A$5:$A$204)/(('Usage Detail'!$B$5:$B$204="Tasting")+('Usage Detail'!$B$5:$B$204="Promotional")),ROW(A114))),"")</f>
        <v/>
      </c>
      <c r="B122" s="3">
        <f>IFERROR(INDEX('Usage Detail'!$B:$B,AGGREGATE(15,6,ROW('Usage Detail'!$A$5:$A$204)/(('Usage Detail'!$B$5:$B$204="Tasting")+('Usage Detail'!$B$5:$B$204="Promotional")),ROW(A114))),"")</f>
        <v/>
      </c>
      <c r="C122" s="3">
        <f>IFERROR(INDEX('Usage Detail'!$C:$C,AGGREGATE(15,6,ROW('Usage Detail'!$A$5:$A$204)/(('Usage Detail'!$B$5:$B$204="Tasting")+('Usage Detail'!$B$5:$B$204="Promotional")),ROW(A114))),"")</f>
        <v/>
      </c>
      <c r="D122" s="3">
        <f>IFERROR(INDEX('Usage Detail'!$D:$D,AGGREGATE(15,6,ROW('Usage Detail'!$A$5:$A$204)/(('Usage Detail'!$B$5:$B$204="Tasting")+('Usage Detail'!$B$5:$B$204="Promotional")),ROW(A114))),"")</f>
        <v/>
      </c>
      <c r="E122" s="4">
        <f>IFERROR(INDEX('Usage Detail'!$E:$E,AGGREGATE(15,6,ROW('Usage Detail'!$A$5:$A$204)/(('Usage Detail'!$B$5:$B$204="Tasting")+('Usage Detail'!$B$5:$B$204="Promotional")),ROW(A114))),"")</f>
        <v/>
      </c>
      <c r="F122" s="4">
        <f>IFERROR(INDEX('Usage Detail'!$F:$F,AGGREGATE(15,6,ROW('Usage Detail'!$A$5:$A$204)/(('Usage Detail'!$B$5:$B$204="Tasting")+('Usage Detail'!$B$5:$B$204="Promotional")),ROW(A114))),"")</f>
        <v/>
      </c>
      <c r="G122" s="4">
        <f>IFERROR(INDEX('Usage Detail'!$G:$G,AGGREGATE(15,6,ROW('Usage Detail'!$A$5:$A$204)/(('Usage Detail'!$B$5:$B$204="Tasting")+('Usage Detail'!$B$5:$B$204="Promotional")),ROW(A114))),"")</f>
        <v/>
      </c>
      <c r="H122" s="4">
        <f>IFERROR(INDEX('Usage Detail'!$H:$H,AGGREGATE(15,6,ROW('Usage Detail'!$A$5:$A$204)/(('Usage Detail'!$B$5:$B$204="Tasting")+('Usage Detail'!$B$5:$B$204="Promotional")),ROW(A114))),"")</f>
        <v/>
      </c>
    </row>
    <row r="123">
      <c r="A123" s="3">
        <f>IFERROR(INDEX('Usage Detail'!$A:$A,AGGREGATE(15,6,ROW('Usage Detail'!$A$5:$A$204)/(('Usage Detail'!$B$5:$B$204="Tasting")+('Usage Detail'!$B$5:$B$204="Promotional")),ROW(A115))),"")</f>
        <v/>
      </c>
      <c r="B123" s="3">
        <f>IFERROR(INDEX('Usage Detail'!$B:$B,AGGREGATE(15,6,ROW('Usage Detail'!$A$5:$A$204)/(('Usage Detail'!$B$5:$B$204="Tasting")+('Usage Detail'!$B$5:$B$204="Promotional")),ROW(A115))),"")</f>
        <v/>
      </c>
      <c r="C123" s="3">
        <f>IFERROR(INDEX('Usage Detail'!$C:$C,AGGREGATE(15,6,ROW('Usage Detail'!$A$5:$A$204)/(('Usage Detail'!$B$5:$B$204="Tasting")+('Usage Detail'!$B$5:$B$204="Promotional")),ROW(A115))),"")</f>
        <v/>
      </c>
      <c r="D123" s="3">
        <f>IFERROR(INDEX('Usage Detail'!$D:$D,AGGREGATE(15,6,ROW('Usage Detail'!$A$5:$A$204)/(('Usage Detail'!$B$5:$B$204="Tasting")+('Usage Detail'!$B$5:$B$204="Promotional")),ROW(A115))),"")</f>
        <v/>
      </c>
      <c r="E123" s="4">
        <f>IFERROR(INDEX('Usage Detail'!$E:$E,AGGREGATE(15,6,ROW('Usage Detail'!$A$5:$A$204)/(('Usage Detail'!$B$5:$B$204="Tasting")+('Usage Detail'!$B$5:$B$204="Promotional")),ROW(A115))),"")</f>
        <v/>
      </c>
      <c r="F123" s="4">
        <f>IFERROR(INDEX('Usage Detail'!$F:$F,AGGREGATE(15,6,ROW('Usage Detail'!$A$5:$A$204)/(('Usage Detail'!$B$5:$B$204="Tasting")+('Usage Detail'!$B$5:$B$204="Promotional")),ROW(A115))),"")</f>
        <v/>
      </c>
      <c r="G123" s="4">
        <f>IFERROR(INDEX('Usage Detail'!$G:$G,AGGREGATE(15,6,ROW('Usage Detail'!$A$5:$A$204)/(('Usage Detail'!$B$5:$B$204="Tasting")+('Usage Detail'!$B$5:$B$204="Promotional")),ROW(A115))),"")</f>
        <v/>
      </c>
      <c r="H123" s="4">
        <f>IFERROR(INDEX('Usage Detail'!$H:$H,AGGREGATE(15,6,ROW('Usage Detail'!$A$5:$A$204)/(('Usage Detail'!$B$5:$B$204="Tasting")+('Usage Detail'!$B$5:$B$204="Promotional")),ROW(A115))),"")</f>
        <v/>
      </c>
    </row>
    <row r="124">
      <c r="A124" s="3">
        <f>IFERROR(INDEX('Usage Detail'!$A:$A,AGGREGATE(15,6,ROW('Usage Detail'!$A$5:$A$204)/(('Usage Detail'!$B$5:$B$204="Tasting")+('Usage Detail'!$B$5:$B$204="Promotional")),ROW(A116))),"")</f>
        <v/>
      </c>
      <c r="B124" s="3">
        <f>IFERROR(INDEX('Usage Detail'!$B:$B,AGGREGATE(15,6,ROW('Usage Detail'!$A$5:$A$204)/(('Usage Detail'!$B$5:$B$204="Tasting")+('Usage Detail'!$B$5:$B$204="Promotional")),ROW(A116))),"")</f>
        <v/>
      </c>
      <c r="C124" s="3">
        <f>IFERROR(INDEX('Usage Detail'!$C:$C,AGGREGATE(15,6,ROW('Usage Detail'!$A$5:$A$204)/(('Usage Detail'!$B$5:$B$204="Tasting")+('Usage Detail'!$B$5:$B$204="Promotional")),ROW(A116))),"")</f>
        <v/>
      </c>
      <c r="D124" s="3">
        <f>IFERROR(INDEX('Usage Detail'!$D:$D,AGGREGATE(15,6,ROW('Usage Detail'!$A$5:$A$204)/(('Usage Detail'!$B$5:$B$204="Tasting")+('Usage Detail'!$B$5:$B$204="Promotional")),ROW(A116))),"")</f>
        <v/>
      </c>
      <c r="E124" s="4">
        <f>IFERROR(INDEX('Usage Detail'!$E:$E,AGGREGATE(15,6,ROW('Usage Detail'!$A$5:$A$204)/(('Usage Detail'!$B$5:$B$204="Tasting")+('Usage Detail'!$B$5:$B$204="Promotional")),ROW(A116))),"")</f>
        <v/>
      </c>
      <c r="F124" s="4">
        <f>IFERROR(INDEX('Usage Detail'!$F:$F,AGGREGATE(15,6,ROW('Usage Detail'!$A$5:$A$204)/(('Usage Detail'!$B$5:$B$204="Tasting")+('Usage Detail'!$B$5:$B$204="Promotional")),ROW(A116))),"")</f>
        <v/>
      </c>
      <c r="G124" s="4">
        <f>IFERROR(INDEX('Usage Detail'!$G:$G,AGGREGATE(15,6,ROW('Usage Detail'!$A$5:$A$204)/(('Usage Detail'!$B$5:$B$204="Tasting")+('Usage Detail'!$B$5:$B$204="Promotional")),ROW(A116))),"")</f>
        <v/>
      </c>
      <c r="H124" s="4">
        <f>IFERROR(INDEX('Usage Detail'!$H:$H,AGGREGATE(15,6,ROW('Usage Detail'!$A$5:$A$204)/(('Usage Detail'!$B$5:$B$204="Tasting")+('Usage Detail'!$B$5:$B$204="Promotional")),ROW(A116))),"")</f>
        <v/>
      </c>
    </row>
    <row r="125">
      <c r="A125" s="3">
        <f>IFERROR(INDEX('Usage Detail'!$A:$A,AGGREGATE(15,6,ROW('Usage Detail'!$A$5:$A$204)/(('Usage Detail'!$B$5:$B$204="Tasting")+('Usage Detail'!$B$5:$B$204="Promotional")),ROW(A117))),"")</f>
        <v/>
      </c>
      <c r="B125" s="3">
        <f>IFERROR(INDEX('Usage Detail'!$B:$B,AGGREGATE(15,6,ROW('Usage Detail'!$A$5:$A$204)/(('Usage Detail'!$B$5:$B$204="Tasting")+('Usage Detail'!$B$5:$B$204="Promotional")),ROW(A117))),"")</f>
        <v/>
      </c>
      <c r="C125" s="3">
        <f>IFERROR(INDEX('Usage Detail'!$C:$C,AGGREGATE(15,6,ROW('Usage Detail'!$A$5:$A$204)/(('Usage Detail'!$B$5:$B$204="Tasting")+('Usage Detail'!$B$5:$B$204="Promotional")),ROW(A117))),"")</f>
        <v/>
      </c>
      <c r="D125" s="3">
        <f>IFERROR(INDEX('Usage Detail'!$D:$D,AGGREGATE(15,6,ROW('Usage Detail'!$A$5:$A$204)/(('Usage Detail'!$B$5:$B$204="Tasting")+('Usage Detail'!$B$5:$B$204="Promotional")),ROW(A117))),"")</f>
        <v/>
      </c>
      <c r="E125" s="4">
        <f>IFERROR(INDEX('Usage Detail'!$E:$E,AGGREGATE(15,6,ROW('Usage Detail'!$A$5:$A$204)/(('Usage Detail'!$B$5:$B$204="Tasting")+('Usage Detail'!$B$5:$B$204="Promotional")),ROW(A117))),"")</f>
        <v/>
      </c>
      <c r="F125" s="4">
        <f>IFERROR(INDEX('Usage Detail'!$F:$F,AGGREGATE(15,6,ROW('Usage Detail'!$A$5:$A$204)/(('Usage Detail'!$B$5:$B$204="Tasting")+('Usage Detail'!$B$5:$B$204="Promotional")),ROW(A117))),"")</f>
        <v/>
      </c>
      <c r="G125" s="4">
        <f>IFERROR(INDEX('Usage Detail'!$G:$G,AGGREGATE(15,6,ROW('Usage Detail'!$A$5:$A$204)/(('Usage Detail'!$B$5:$B$204="Tasting")+('Usage Detail'!$B$5:$B$204="Promotional")),ROW(A117))),"")</f>
        <v/>
      </c>
      <c r="H125" s="4">
        <f>IFERROR(INDEX('Usage Detail'!$H:$H,AGGREGATE(15,6,ROW('Usage Detail'!$A$5:$A$204)/(('Usage Detail'!$B$5:$B$204="Tasting")+('Usage Detail'!$B$5:$B$204="Promotional")),ROW(A117))),"")</f>
        <v/>
      </c>
    </row>
    <row r="126">
      <c r="A126" s="3">
        <f>IFERROR(INDEX('Usage Detail'!$A:$A,AGGREGATE(15,6,ROW('Usage Detail'!$A$5:$A$204)/(('Usage Detail'!$B$5:$B$204="Tasting")+('Usage Detail'!$B$5:$B$204="Promotional")),ROW(A118))),"")</f>
        <v/>
      </c>
      <c r="B126" s="3">
        <f>IFERROR(INDEX('Usage Detail'!$B:$B,AGGREGATE(15,6,ROW('Usage Detail'!$A$5:$A$204)/(('Usage Detail'!$B$5:$B$204="Tasting")+('Usage Detail'!$B$5:$B$204="Promotional")),ROW(A118))),"")</f>
        <v/>
      </c>
      <c r="C126" s="3">
        <f>IFERROR(INDEX('Usage Detail'!$C:$C,AGGREGATE(15,6,ROW('Usage Detail'!$A$5:$A$204)/(('Usage Detail'!$B$5:$B$204="Tasting")+('Usage Detail'!$B$5:$B$204="Promotional")),ROW(A118))),"")</f>
        <v/>
      </c>
      <c r="D126" s="3">
        <f>IFERROR(INDEX('Usage Detail'!$D:$D,AGGREGATE(15,6,ROW('Usage Detail'!$A$5:$A$204)/(('Usage Detail'!$B$5:$B$204="Tasting")+('Usage Detail'!$B$5:$B$204="Promotional")),ROW(A118))),"")</f>
        <v/>
      </c>
      <c r="E126" s="4">
        <f>IFERROR(INDEX('Usage Detail'!$E:$E,AGGREGATE(15,6,ROW('Usage Detail'!$A$5:$A$204)/(('Usage Detail'!$B$5:$B$204="Tasting")+('Usage Detail'!$B$5:$B$204="Promotional")),ROW(A118))),"")</f>
        <v/>
      </c>
      <c r="F126" s="4">
        <f>IFERROR(INDEX('Usage Detail'!$F:$F,AGGREGATE(15,6,ROW('Usage Detail'!$A$5:$A$204)/(('Usage Detail'!$B$5:$B$204="Tasting")+('Usage Detail'!$B$5:$B$204="Promotional")),ROW(A118))),"")</f>
        <v/>
      </c>
      <c r="G126" s="4">
        <f>IFERROR(INDEX('Usage Detail'!$G:$G,AGGREGATE(15,6,ROW('Usage Detail'!$A$5:$A$204)/(('Usage Detail'!$B$5:$B$204="Tasting")+('Usage Detail'!$B$5:$B$204="Promotional")),ROW(A118))),"")</f>
        <v/>
      </c>
      <c r="H126" s="4">
        <f>IFERROR(INDEX('Usage Detail'!$H:$H,AGGREGATE(15,6,ROW('Usage Detail'!$A$5:$A$204)/(('Usage Detail'!$B$5:$B$204="Tasting")+('Usage Detail'!$B$5:$B$204="Promotional")),ROW(A118))),"")</f>
        <v/>
      </c>
    </row>
    <row r="127">
      <c r="A127" s="3">
        <f>IFERROR(INDEX('Usage Detail'!$A:$A,AGGREGATE(15,6,ROW('Usage Detail'!$A$5:$A$204)/(('Usage Detail'!$B$5:$B$204="Tasting")+('Usage Detail'!$B$5:$B$204="Promotional")),ROW(A119))),"")</f>
        <v/>
      </c>
      <c r="B127" s="3">
        <f>IFERROR(INDEX('Usage Detail'!$B:$B,AGGREGATE(15,6,ROW('Usage Detail'!$A$5:$A$204)/(('Usage Detail'!$B$5:$B$204="Tasting")+('Usage Detail'!$B$5:$B$204="Promotional")),ROW(A119))),"")</f>
        <v/>
      </c>
      <c r="C127" s="3">
        <f>IFERROR(INDEX('Usage Detail'!$C:$C,AGGREGATE(15,6,ROW('Usage Detail'!$A$5:$A$204)/(('Usage Detail'!$B$5:$B$204="Tasting")+('Usage Detail'!$B$5:$B$204="Promotional")),ROW(A119))),"")</f>
        <v/>
      </c>
      <c r="D127" s="3">
        <f>IFERROR(INDEX('Usage Detail'!$D:$D,AGGREGATE(15,6,ROW('Usage Detail'!$A$5:$A$204)/(('Usage Detail'!$B$5:$B$204="Tasting")+('Usage Detail'!$B$5:$B$204="Promotional")),ROW(A119))),"")</f>
        <v/>
      </c>
      <c r="E127" s="4">
        <f>IFERROR(INDEX('Usage Detail'!$E:$E,AGGREGATE(15,6,ROW('Usage Detail'!$A$5:$A$204)/(('Usage Detail'!$B$5:$B$204="Tasting")+('Usage Detail'!$B$5:$B$204="Promotional")),ROW(A119))),"")</f>
        <v/>
      </c>
      <c r="F127" s="4">
        <f>IFERROR(INDEX('Usage Detail'!$F:$F,AGGREGATE(15,6,ROW('Usage Detail'!$A$5:$A$204)/(('Usage Detail'!$B$5:$B$204="Tasting")+('Usage Detail'!$B$5:$B$204="Promotional")),ROW(A119))),"")</f>
        <v/>
      </c>
      <c r="G127" s="4">
        <f>IFERROR(INDEX('Usage Detail'!$G:$G,AGGREGATE(15,6,ROW('Usage Detail'!$A$5:$A$204)/(('Usage Detail'!$B$5:$B$204="Tasting")+('Usage Detail'!$B$5:$B$204="Promotional")),ROW(A119))),"")</f>
        <v/>
      </c>
      <c r="H127" s="4">
        <f>IFERROR(INDEX('Usage Detail'!$H:$H,AGGREGATE(15,6,ROW('Usage Detail'!$A$5:$A$204)/(('Usage Detail'!$B$5:$B$204="Tasting")+('Usage Detail'!$B$5:$B$204="Promotional")),ROW(A119))),"")</f>
        <v/>
      </c>
    </row>
    <row r="128">
      <c r="A128" s="3">
        <f>IFERROR(INDEX('Usage Detail'!$A:$A,AGGREGATE(15,6,ROW('Usage Detail'!$A$5:$A$204)/(('Usage Detail'!$B$5:$B$204="Tasting")+('Usage Detail'!$B$5:$B$204="Promotional")),ROW(A120))),"")</f>
        <v/>
      </c>
      <c r="B128" s="3">
        <f>IFERROR(INDEX('Usage Detail'!$B:$B,AGGREGATE(15,6,ROW('Usage Detail'!$A$5:$A$204)/(('Usage Detail'!$B$5:$B$204="Tasting")+('Usage Detail'!$B$5:$B$204="Promotional")),ROW(A120))),"")</f>
        <v/>
      </c>
      <c r="C128" s="3">
        <f>IFERROR(INDEX('Usage Detail'!$C:$C,AGGREGATE(15,6,ROW('Usage Detail'!$A$5:$A$204)/(('Usage Detail'!$B$5:$B$204="Tasting")+('Usage Detail'!$B$5:$B$204="Promotional")),ROW(A120))),"")</f>
        <v/>
      </c>
      <c r="D128" s="3">
        <f>IFERROR(INDEX('Usage Detail'!$D:$D,AGGREGATE(15,6,ROW('Usage Detail'!$A$5:$A$204)/(('Usage Detail'!$B$5:$B$204="Tasting")+('Usage Detail'!$B$5:$B$204="Promotional")),ROW(A120))),"")</f>
        <v/>
      </c>
      <c r="E128" s="4">
        <f>IFERROR(INDEX('Usage Detail'!$E:$E,AGGREGATE(15,6,ROW('Usage Detail'!$A$5:$A$204)/(('Usage Detail'!$B$5:$B$204="Tasting")+('Usage Detail'!$B$5:$B$204="Promotional")),ROW(A120))),"")</f>
        <v/>
      </c>
      <c r="F128" s="4">
        <f>IFERROR(INDEX('Usage Detail'!$F:$F,AGGREGATE(15,6,ROW('Usage Detail'!$A$5:$A$204)/(('Usage Detail'!$B$5:$B$204="Tasting")+('Usage Detail'!$B$5:$B$204="Promotional")),ROW(A120))),"")</f>
        <v/>
      </c>
      <c r="G128" s="4">
        <f>IFERROR(INDEX('Usage Detail'!$G:$G,AGGREGATE(15,6,ROW('Usage Detail'!$A$5:$A$204)/(('Usage Detail'!$B$5:$B$204="Tasting")+('Usage Detail'!$B$5:$B$204="Promotional")),ROW(A120))),"")</f>
        <v/>
      </c>
      <c r="H128" s="4">
        <f>IFERROR(INDEX('Usage Detail'!$H:$H,AGGREGATE(15,6,ROW('Usage Detail'!$A$5:$A$204)/(('Usage Detail'!$B$5:$B$204="Tasting")+('Usage Detail'!$B$5:$B$204="Promotional")),ROW(A120))),"")</f>
        <v/>
      </c>
    </row>
    <row r="129">
      <c r="A129" s="3">
        <f>IFERROR(INDEX('Usage Detail'!$A:$A,AGGREGATE(15,6,ROW('Usage Detail'!$A$5:$A$204)/(('Usage Detail'!$B$5:$B$204="Tasting")+('Usage Detail'!$B$5:$B$204="Promotional")),ROW(A121))),"")</f>
        <v/>
      </c>
      <c r="B129" s="3">
        <f>IFERROR(INDEX('Usage Detail'!$B:$B,AGGREGATE(15,6,ROW('Usage Detail'!$A$5:$A$204)/(('Usage Detail'!$B$5:$B$204="Tasting")+('Usage Detail'!$B$5:$B$204="Promotional")),ROW(A121))),"")</f>
        <v/>
      </c>
      <c r="C129" s="3">
        <f>IFERROR(INDEX('Usage Detail'!$C:$C,AGGREGATE(15,6,ROW('Usage Detail'!$A$5:$A$204)/(('Usage Detail'!$B$5:$B$204="Tasting")+('Usage Detail'!$B$5:$B$204="Promotional")),ROW(A121))),"")</f>
        <v/>
      </c>
      <c r="D129" s="3">
        <f>IFERROR(INDEX('Usage Detail'!$D:$D,AGGREGATE(15,6,ROW('Usage Detail'!$A$5:$A$204)/(('Usage Detail'!$B$5:$B$204="Tasting")+('Usage Detail'!$B$5:$B$204="Promotional")),ROW(A121))),"")</f>
        <v/>
      </c>
      <c r="E129" s="4">
        <f>IFERROR(INDEX('Usage Detail'!$E:$E,AGGREGATE(15,6,ROW('Usage Detail'!$A$5:$A$204)/(('Usage Detail'!$B$5:$B$204="Tasting")+('Usage Detail'!$B$5:$B$204="Promotional")),ROW(A121))),"")</f>
        <v/>
      </c>
      <c r="F129" s="4">
        <f>IFERROR(INDEX('Usage Detail'!$F:$F,AGGREGATE(15,6,ROW('Usage Detail'!$A$5:$A$204)/(('Usage Detail'!$B$5:$B$204="Tasting")+('Usage Detail'!$B$5:$B$204="Promotional")),ROW(A121))),"")</f>
        <v/>
      </c>
      <c r="G129" s="4">
        <f>IFERROR(INDEX('Usage Detail'!$G:$G,AGGREGATE(15,6,ROW('Usage Detail'!$A$5:$A$204)/(('Usage Detail'!$B$5:$B$204="Tasting")+('Usage Detail'!$B$5:$B$204="Promotional")),ROW(A121))),"")</f>
        <v/>
      </c>
      <c r="H129" s="4">
        <f>IFERROR(INDEX('Usage Detail'!$H:$H,AGGREGATE(15,6,ROW('Usage Detail'!$A$5:$A$204)/(('Usage Detail'!$B$5:$B$204="Tasting")+('Usage Detail'!$B$5:$B$204="Promotional")),ROW(A121))),"")</f>
        <v/>
      </c>
    </row>
    <row r="130">
      <c r="A130" s="3">
        <f>IFERROR(INDEX('Usage Detail'!$A:$A,AGGREGATE(15,6,ROW('Usage Detail'!$A$5:$A$204)/(('Usage Detail'!$B$5:$B$204="Tasting")+('Usage Detail'!$B$5:$B$204="Promotional")),ROW(A122))),"")</f>
        <v/>
      </c>
      <c r="B130" s="3">
        <f>IFERROR(INDEX('Usage Detail'!$B:$B,AGGREGATE(15,6,ROW('Usage Detail'!$A$5:$A$204)/(('Usage Detail'!$B$5:$B$204="Tasting")+('Usage Detail'!$B$5:$B$204="Promotional")),ROW(A122))),"")</f>
        <v/>
      </c>
      <c r="C130" s="3">
        <f>IFERROR(INDEX('Usage Detail'!$C:$C,AGGREGATE(15,6,ROW('Usage Detail'!$A$5:$A$204)/(('Usage Detail'!$B$5:$B$204="Tasting")+('Usage Detail'!$B$5:$B$204="Promotional")),ROW(A122))),"")</f>
        <v/>
      </c>
      <c r="D130" s="3">
        <f>IFERROR(INDEX('Usage Detail'!$D:$D,AGGREGATE(15,6,ROW('Usage Detail'!$A$5:$A$204)/(('Usage Detail'!$B$5:$B$204="Tasting")+('Usage Detail'!$B$5:$B$204="Promotional")),ROW(A122))),"")</f>
        <v/>
      </c>
      <c r="E130" s="4">
        <f>IFERROR(INDEX('Usage Detail'!$E:$E,AGGREGATE(15,6,ROW('Usage Detail'!$A$5:$A$204)/(('Usage Detail'!$B$5:$B$204="Tasting")+('Usage Detail'!$B$5:$B$204="Promotional")),ROW(A122))),"")</f>
        <v/>
      </c>
      <c r="F130" s="4">
        <f>IFERROR(INDEX('Usage Detail'!$F:$F,AGGREGATE(15,6,ROW('Usage Detail'!$A$5:$A$204)/(('Usage Detail'!$B$5:$B$204="Tasting")+('Usage Detail'!$B$5:$B$204="Promotional")),ROW(A122))),"")</f>
        <v/>
      </c>
      <c r="G130" s="4">
        <f>IFERROR(INDEX('Usage Detail'!$G:$G,AGGREGATE(15,6,ROW('Usage Detail'!$A$5:$A$204)/(('Usage Detail'!$B$5:$B$204="Tasting")+('Usage Detail'!$B$5:$B$204="Promotional")),ROW(A122))),"")</f>
        <v/>
      </c>
      <c r="H130" s="4">
        <f>IFERROR(INDEX('Usage Detail'!$H:$H,AGGREGATE(15,6,ROW('Usage Detail'!$A$5:$A$204)/(('Usage Detail'!$B$5:$B$204="Tasting")+('Usage Detail'!$B$5:$B$204="Promotional")),ROW(A122))),"")</f>
        <v/>
      </c>
    </row>
    <row r="131">
      <c r="A131" s="3">
        <f>IFERROR(INDEX('Usage Detail'!$A:$A,AGGREGATE(15,6,ROW('Usage Detail'!$A$5:$A$204)/(('Usage Detail'!$B$5:$B$204="Tasting")+('Usage Detail'!$B$5:$B$204="Promotional")),ROW(A123))),"")</f>
        <v/>
      </c>
      <c r="B131" s="3">
        <f>IFERROR(INDEX('Usage Detail'!$B:$B,AGGREGATE(15,6,ROW('Usage Detail'!$A$5:$A$204)/(('Usage Detail'!$B$5:$B$204="Tasting")+('Usage Detail'!$B$5:$B$204="Promotional")),ROW(A123))),"")</f>
        <v/>
      </c>
      <c r="C131" s="3">
        <f>IFERROR(INDEX('Usage Detail'!$C:$C,AGGREGATE(15,6,ROW('Usage Detail'!$A$5:$A$204)/(('Usage Detail'!$B$5:$B$204="Tasting")+('Usage Detail'!$B$5:$B$204="Promotional")),ROW(A123))),"")</f>
        <v/>
      </c>
      <c r="D131" s="3">
        <f>IFERROR(INDEX('Usage Detail'!$D:$D,AGGREGATE(15,6,ROW('Usage Detail'!$A$5:$A$204)/(('Usage Detail'!$B$5:$B$204="Tasting")+('Usage Detail'!$B$5:$B$204="Promotional")),ROW(A123))),"")</f>
        <v/>
      </c>
      <c r="E131" s="4">
        <f>IFERROR(INDEX('Usage Detail'!$E:$E,AGGREGATE(15,6,ROW('Usage Detail'!$A$5:$A$204)/(('Usage Detail'!$B$5:$B$204="Tasting")+('Usage Detail'!$B$5:$B$204="Promotional")),ROW(A123))),"")</f>
        <v/>
      </c>
      <c r="F131" s="4">
        <f>IFERROR(INDEX('Usage Detail'!$F:$F,AGGREGATE(15,6,ROW('Usage Detail'!$A$5:$A$204)/(('Usage Detail'!$B$5:$B$204="Tasting")+('Usage Detail'!$B$5:$B$204="Promotional")),ROW(A123))),"")</f>
        <v/>
      </c>
      <c r="G131" s="4">
        <f>IFERROR(INDEX('Usage Detail'!$G:$G,AGGREGATE(15,6,ROW('Usage Detail'!$A$5:$A$204)/(('Usage Detail'!$B$5:$B$204="Tasting")+('Usage Detail'!$B$5:$B$204="Promotional")),ROW(A123))),"")</f>
        <v/>
      </c>
      <c r="H131" s="4">
        <f>IFERROR(INDEX('Usage Detail'!$H:$H,AGGREGATE(15,6,ROW('Usage Detail'!$A$5:$A$204)/(('Usage Detail'!$B$5:$B$204="Tasting")+('Usage Detail'!$B$5:$B$204="Promotional")),ROW(A123))),"")</f>
        <v/>
      </c>
    </row>
    <row r="132">
      <c r="A132" s="3">
        <f>IFERROR(INDEX('Usage Detail'!$A:$A,AGGREGATE(15,6,ROW('Usage Detail'!$A$5:$A$204)/(('Usage Detail'!$B$5:$B$204="Tasting")+('Usage Detail'!$B$5:$B$204="Promotional")),ROW(A124))),"")</f>
        <v/>
      </c>
      <c r="B132" s="3">
        <f>IFERROR(INDEX('Usage Detail'!$B:$B,AGGREGATE(15,6,ROW('Usage Detail'!$A$5:$A$204)/(('Usage Detail'!$B$5:$B$204="Tasting")+('Usage Detail'!$B$5:$B$204="Promotional")),ROW(A124))),"")</f>
        <v/>
      </c>
      <c r="C132" s="3">
        <f>IFERROR(INDEX('Usage Detail'!$C:$C,AGGREGATE(15,6,ROW('Usage Detail'!$A$5:$A$204)/(('Usage Detail'!$B$5:$B$204="Tasting")+('Usage Detail'!$B$5:$B$204="Promotional")),ROW(A124))),"")</f>
        <v/>
      </c>
      <c r="D132" s="3">
        <f>IFERROR(INDEX('Usage Detail'!$D:$D,AGGREGATE(15,6,ROW('Usage Detail'!$A$5:$A$204)/(('Usage Detail'!$B$5:$B$204="Tasting")+('Usage Detail'!$B$5:$B$204="Promotional")),ROW(A124))),"")</f>
        <v/>
      </c>
      <c r="E132" s="4">
        <f>IFERROR(INDEX('Usage Detail'!$E:$E,AGGREGATE(15,6,ROW('Usage Detail'!$A$5:$A$204)/(('Usage Detail'!$B$5:$B$204="Tasting")+('Usage Detail'!$B$5:$B$204="Promotional")),ROW(A124))),"")</f>
        <v/>
      </c>
      <c r="F132" s="4">
        <f>IFERROR(INDEX('Usage Detail'!$F:$F,AGGREGATE(15,6,ROW('Usage Detail'!$A$5:$A$204)/(('Usage Detail'!$B$5:$B$204="Tasting")+('Usage Detail'!$B$5:$B$204="Promotional")),ROW(A124))),"")</f>
        <v/>
      </c>
      <c r="G132" s="4">
        <f>IFERROR(INDEX('Usage Detail'!$G:$G,AGGREGATE(15,6,ROW('Usage Detail'!$A$5:$A$204)/(('Usage Detail'!$B$5:$B$204="Tasting")+('Usage Detail'!$B$5:$B$204="Promotional")),ROW(A124))),"")</f>
        <v/>
      </c>
      <c r="H132" s="4">
        <f>IFERROR(INDEX('Usage Detail'!$H:$H,AGGREGATE(15,6,ROW('Usage Detail'!$A$5:$A$204)/(('Usage Detail'!$B$5:$B$204="Tasting")+('Usage Detail'!$B$5:$B$204="Promotional")),ROW(A124))),"")</f>
        <v/>
      </c>
    </row>
    <row r="133">
      <c r="A133" s="3">
        <f>IFERROR(INDEX('Usage Detail'!$A:$A,AGGREGATE(15,6,ROW('Usage Detail'!$A$5:$A$204)/(('Usage Detail'!$B$5:$B$204="Tasting")+('Usage Detail'!$B$5:$B$204="Promotional")),ROW(A125))),"")</f>
        <v/>
      </c>
      <c r="B133" s="3">
        <f>IFERROR(INDEX('Usage Detail'!$B:$B,AGGREGATE(15,6,ROW('Usage Detail'!$A$5:$A$204)/(('Usage Detail'!$B$5:$B$204="Tasting")+('Usage Detail'!$B$5:$B$204="Promotional")),ROW(A125))),"")</f>
        <v/>
      </c>
      <c r="C133" s="3">
        <f>IFERROR(INDEX('Usage Detail'!$C:$C,AGGREGATE(15,6,ROW('Usage Detail'!$A$5:$A$204)/(('Usage Detail'!$B$5:$B$204="Tasting")+('Usage Detail'!$B$5:$B$204="Promotional")),ROW(A125))),"")</f>
        <v/>
      </c>
      <c r="D133" s="3">
        <f>IFERROR(INDEX('Usage Detail'!$D:$D,AGGREGATE(15,6,ROW('Usage Detail'!$A$5:$A$204)/(('Usage Detail'!$B$5:$B$204="Tasting")+('Usage Detail'!$B$5:$B$204="Promotional")),ROW(A125))),"")</f>
        <v/>
      </c>
      <c r="E133" s="4">
        <f>IFERROR(INDEX('Usage Detail'!$E:$E,AGGREGATE(15,6,ROW('Usage Detail'!$A$5:$A$204)/(('Usage Detail'!$B$5:$B$204="Tasting")+('Usage Detail'!$B$5:$B$204="Promotional")),ROW(A125))),"")</f>
        <v/>
      </c>
      <c r="F133" s="4">
        <f>IFERROR(INDEX('Usage Detail'!$F:$F,AGGREGATE(15,6,ROW('Usage Detail'!$A$5:$A$204)/(('Usage Detail'!$B$5:$B$204="Tasting")+('Usage Detail'!$B$5:$B$204="Promotional")),ROW(A125))),"")</f>
        <v/>
      </c>
      <c r="G133" s="4">
        <f>IFERROR(INDEX('Usage Detail'!$G:$G,AGGREGATE(15,6,ROW('Usage Detail'!$A$5:$A$204)/(('Usage Detail'!$B$5:$B$204="Tasting")+('Usage Detail'!$B$5:$B$204="Promotional")),ROW(A125))),"")</f>
        <v/>
      </c>
      <c r="H133" s="4">
        <f>IFERROR(INDEX('Usage Detail'!$H:$H,AGGREGATE(15,6,ROW('Usage Detail'!$A$5:$A$204)/(('Usage Detail'!$B$5:$B$204="Tasting")+('Usage Detail'!$B$5:$B$204="Promotional")),ROW(A125))),"")</f>
        <v/>
      </c>
    </row>
    <row r="134">
      <c r="A134" s="3">
        <f>IFERROR(INDEX('Usage Detail'!$A:$A,AGGREGATE(15,6,ROW('Usage Detail'!$A$5:$A$204)/(('Usage Detail'!$B$5:$B$204="Tasting")+('Usage Detail'!$B$5:$B$204="Promotional")),ROW(A126))),"")</f>
        <v/>
      </c>
      <c r="B134" s="3">
        <f>IFERROR(INDEX('Usage Detail'!$B:$B,AGGREGATE(15,6,ROW('Usage Detail'!$A$5:$A$204)/(('Usage Detail'!$B$5:$B$204="Tasting")+('Usage Detail'!$B$5:$B$204="Promotional")),ROW(A126))),"")</f>
        <v/>
      </c>
      <c r="C134" s="3">
        <f>IFERROR(INDEX('Usage Detail'!$C:$C,AGGREGATE(15,6,ROW('Usage Detail'!$A$5:$A$204)/(('Usage Detail'!$B$5:$B$204="Tasting")+('Usage Detail'!$B$5:$B$204="Promotional")),ROW(A126))),"")</f>
        <v/>
      </c>
      <c r="D134" s="3">
        <f>IFERROR(INDEX('Usage Detail'!$D:$D,AGGREGATE(15,6,ROW('Usage Detail'!$A$5:$A$204)/(('Usage Detail'!$B$5:$B$204="Tasting")+('Usage Detail'!$B$5:$B$204="Promotional")),ROW(A126))),"")</f>
        <v/>
      </c>
      <c r="E134" s="4">
        <f>IFERROR(INDEX('Usage Detail'!$E:$E,AGGREGATE(15,6,ROW('Usage Detail'!$A$5:$A$204)/(('Usage Detail'!$B$5:$B$204="Tasting")+('Usage Detail'!$B$5:$B$204="Promotional")),ROW(A126))),"")</f>
        <v/>
      </c>
      <c r="F134" s="4">
        <f>IFERROR(INDEX('Usage Detail'!$F:$F,AGGREGATE(15,6,ROW('Usage Detail'!$A$5:$A$204)/(('Usage Detail'!$B$5:$B$204="Tasting")+('Usage Detail'!$B$5:$B$204="Promotional")),ROW(A126))),"")</f>
        <v/>
      </c>
      <c r="G134" s="4">
        <f>IFERROR(INDEX('Usage Detail'!$G:$G,AGGREGATE(15,6,ROW('Usage Detail'!$A$5:$A$204)/(('Usage Detail'!$B$5:$B$204="Tasting")+('Usage Detail'!$B$5:$B$204="Promotional")),ROW(A126))),"")</f>
        <v/>
      </c>
      <c r="H134" s="4">
        <f>IFERROR(INDEX('Usage Detail'!$H:$H,AGGREGATE(15,6,ROW('Usage Detail'!$A$5:$A$204)/(('Usage Detail'!$B$5:$B$204="Tasting")+('Usage Detail'!$B$5:$B$204="Promotional")),ROW(A126))),"")</f>
        <v/>
      </c>
    </row>
    <row r="135">
      <c r="A135" s="3">
        <f>IFERROR(INDEX('Usage Detail'!$A:$A,AGGREGATE(15,6,ROW('Usage Detail'!$A$5:$A$204)/(('Usage Detail'!$B$5:$B$204="Tasting")+('Usage Detail'!$B$5:$B$204="Promotional")),ROW(A127))),"")</f>
        <v/>
      </c>
      <c r="B135" s="3">
        <f>IFERROR(INDEX('Usage Detail'!$B:$B,AGGREGATE(15,6,ROW('Usage Detail'!$A$5:$A$204)/(('Usage Detail'!$B$5:$B$204="Tasting")+('Usage Detail'!$B$5:$B$204="Promotional")),ROW(A127))),"")</f>
        <v/>
      </c>
      <c r="C135" s="3">
        <f>IFERROR(INDEX('Usage Detail'!$C:$C,AGGREGATE(15,6,ROW('Usage Detail'!$A$5:$A$204)/(('Usage Detail'!$B$5:$B$204="Tasting")+('Usage Detail'!$B$5:$B$204="Promotional")),ROW(A127))),"")</f>
        <v/>
      </c>
      <c r="D135" s="3">
        <f>IFERROR(INDEX('Usage Detail'!$D:$D,AGGREGATE(15,6,ROW('Usage Detail'!$A$5:$A$204)/(('Usage Detail'!$B$5:$B$204="Tasting")+('Usage Detail'!$B$5:$B$204="Promotional")),ROW(A127))),"")</f>
        <v/>
      </c>
      <c r="E135" s="4">
        <f>IFERROR(INDEX('Usage Detail'!$E:$E,AGGREGATE(15,6,ROW('Usage Detail'!$A$5:$A$204)/(('Usage Detail'!$B$5:$B$204="Tasting")+('Usage Detail'!$B$5:$B$204="Promotional")),ROW(A127))),"")</f>
        <v/>
      </c>
      <c r="F135" s="4">
        <f>IFERROR(INDEX('Usage Detail'!$F:$F,AGGREGATE(15,6,ROW('Usage Detail'!$A$5:$A$204)/(('Usage Detail'!$B$5:$B$204="Tasting")+('Usage Detail'!$B$5:$B$204="Promotional")),ROW(A127))),"")</f>
        <v/>
      </c>
      <c r="G135" s="4">
        <f>IFERROR(INDEX('Usage Detail'!$G:$G,AGGREGATE(15,6,ROW('Usage Detail'!$A$5:$A$204)/(('Usage Detail'!$B$5:$B$204="Tasting")+('Usage Detail'!$B$5:$B$204="Promotional")),ROW(A127))),"")</f>
        <v/>
      </c>
      <c r="H135" s="4">
        <f>IFERROR(INDEX('Usage Detail'!$H:$H,AGGREGATE(15,6,ROW('Usage Detail'!$A$5:$A$204)/(('Usage Detail'!$B$5:$B$204="Tasting")+('Usage Detail'!$B$5:$B$204="Promotional")),ROW(A127))),"")</f>
        <v/>
      </c>
    </row>
    <row r="136">
      <c r="A136" s="3">
        <f>IFERROR(INDEX('Usage Detail'!$A:$A,AGGREGATE(15,6,ROW('Usage Detail'!$A$5:$A$204)/(('Usage Detail'!$B$5:$B$204="Tasting")+('Usage Detail'!$B$5:$B$204="Promotional")),ROW(A128))),"")</f>
        <v/>
      </c>
      <c r="B136" s="3">
        <f>IFERROR(INDEX('Usage Detail'!$B:$B,AGGREGATE(15,6,ROW('Usage Detail'!$A$5:$A$204)/(('Usage Detail'!$B$5:$B$204="Tasting")+('Usage Detail'!$B$5:$B$204="Promotional")),ROW(A128))),"")</f>
        <v/>
      </c>
      <c r="C136" s="3">
        <f>IFERROR(INDEX('Usage Detail'!$C:$C,AGGREGATE(15,6,ROW('Usage Detail'!$A$5:$A$204)/(('Usage Detail'!$B$5:$B$204="Tasting")+('Usage Detail'!$B$5:$B$204="Promotional")),ROW(A128))),"")</f>
        <v/>
      </c>
      <c r="D136" s="3">
        <f>IFERROR(INDEX('Usage Detail'!$D:$D,AGGREGATE(15,6,ROW('Usage Detail'!$A$5:$A$204)/(('Usage Detail'!$B$5:$B$204="Tasting")+('Usage Detail'!$B$5:$B$204="Promotional")),ROW(A128))),"")</f>
        <v/>
      </c>
      <c r="E136" s="4">
        <f>IFERROR(INDEX('Usage Detail'!$E:$E,AGGREGATE(15,6,ROW('Usage Detail'!$A$5:$A$204)/(('Usage Detail'!$B$5:$B$204="Tasting")+('Usage Detail'!$B$5:$B$204="Promotional")),ROW(A128))),"")</f>
        <v/>
      </c>
      <c r="F136" s="4">
        <f>IFERROR(INDEX('Usage Detail'!$F:$F,AGGREGATE(15,6,ROW('Usage Detail'!$A$5:$A$204)/(('Usage Detail'!$B$5:$B$204="Tasting")+('Usage Detail'!$B$5:$B$204="Promotional")),ROW(A128))),"")</f>
        <v/>
      </c>
      <c r="G136" s="4">
        <f>IFERROR(INDEX('Usage Detail'!$G:$G,AGGREGATE(15,6,ROW('Usage Detail'!$A$5:$A$204)/(('Usage Detail'!$B$5:$B$204="Tasting")+('Usage Detail'!$B$5:$B$204="Promotional")),ROW(A128))),"")</f>
        <v/>
      </c>
      <c r="H136" s="4">
        <f>IFERROR(INDEX('Usage Detail'!$H:$H,AGGREGATE(15,6,ROW('Usage Detail'!$A$5:$A$204)/(('Usage Detail'!$B$5:$B$204="Tasting")+('Usage Detail'!$B$5:$B$204="Promotional")),ROW(A128))),"")</f>
        <v/>
      </c>
    </row>
    <row r="137">
      <c r="A137" s="3">
        <f>IFERROR(INDEX('Usage Detail'!$A:$A,AGGREGATE(15,6,ROW('Usage Detail'!$A$5:$A$204)/(('Usage Detail'!$B$5:$B$204="Tasting")+('Usage Detail'!$B$5:$B$204="Promotional")),ROW(A129))),"")</f>
        <v/>
      </c>
      <c r="B137" s="3">
        <f>IFERROR(INDEX('Usage Detail'!$B:$B,AGGREGATE(15,6,ROW('Usage Detail'!$A$5:$A$204)/(('Usage Detail'!$B$5:$B$204="Tasting")+('Usage Detail'!$B$5:$B$204="Promotional")),ROW(A129))),"")</f>
        <v/>
      </c>
      <c r="C137" s="3">
        <f>IFERROR(INDEX('Usage Detail'!$C:$C,AGGREGATE(15,6,ROW('Usage Detail'!$A$5:$A$204)/(('Usage Detail'!$B$5:$B$204="Tasting")+('Usage Detail'!$B$5:$B$204="Promotional")),ROW(A129))),"")</f>
        <v/>
      </c>
      <c r="D137" s="3">
        <f>IFERROR(INDEX('Usage Detail'!$D:$D,AGGREGATE(15,6,ROW('Usage Detail'!$A$5:$A$204)/(('Usage Detail'!$B$5:$B$204="Tasting")+('Usage Detail'!$B$5:$B$204="Promotional")),ROW(A129))),"")</f>
        <v/>
      </c>
      <c r="E137" s="4">
        <f>IFERROR(INDEX('Usage Detail'!$E:$E,AGGREGATE(15,6,ROW('Usage Detail'!$A$5:$A$204)/(('Usage Detail'!$B$5:$B$204="Tasting")+('Usage Detail'!$B$5:$B$204="Promotional")),ROW(A129))),"")</f>
        <v/>
      </c>
      <c r="F137" s="4">
        <f>IFERROR(INDEX('Usage Detail'!$F:$F,AGGREGATE(15,6,ROW('Usage Detail'!$A$5:$A$204)/(('Usage Detail'!$B$5:$B$204="Tasting")+('Usage Detail'!$B$5:$B$204="Promotional")),ROW(A129))),"")</f>
        <v/>
      </c>
      <c r="G137" s="4">
        <f>IFERROR(INDEX('Usage Detail'!$G:$G,AGGREGATE(15,6,ROW('Usage Detail'!$A$5:$A$204)/(('Usage Detail'!$B$5:$B$204="Tasting")+('Usage Detail'!$B$5:$B$204="Promotional")),ROW(A129))),"")</f>
        <v/>
      </c>
      <c r="H137" s="4">
        <f>IFERROR(INDEX('Usage Detail'!$H:$H,AGGREGATE(15,6,ROW('Usage Detail'!$A$5:$A$204)/(('Usage Detail'!$B$5:$B$204="Tasting")+('Usage Detail'!$B$5:$B$204="Promotional")),ROW(A129))),"")</f>
        <v/>
      </c>
    </row>
    <row r="138">
      <c r="A138" s="3">
        <f>IFERROR(INDEX('Usage Detail'!$A:$A,AGGREGATE(15,6,ROW('Usage Detail'!$A$5:$A$204)/(('Usage Detail'!$B$5:$B$204="Tasting")+('Usage Detail'!$B$5:$B$204="Promotional")),ROW(A130))),"")</f>
        <v/>
      </c>
      <c r="B138" s="3">
        <f>IFERROR(INDEX('Usage Detail'!$B:$B,AGGREGATE(15,6,ROW('Usage Detail'!$A$5:$A$204)/(('Usage Detail'!$B$5:$B$204="Tasting")+('Usage Detail'!$B$5:$B$204="Promotional")),ROW(A130))),"")</f>
        <v/>
      </c>
      <c r="C138" s="3">
        <f>IFERROR(INDEX('Usage Detail'!$C:$C,AGGREGATE(15,6,ROW('Usage Detail'!$A$5:$A$204)/(('Usage Detail'!$B$5:$B$204="Tasting")+('Usage Detail'!$B$5:$B$204="Promotional")),ROW(A130))),"")</f>
        <v/>
      </c>
      <c r="D138" s="3">
        <f>IFERROR(INDEX('Usage Detail'!$D:$D,AGGREGATE(15,6,ROW('Usage Detail'!$A$5:$A$204)/(('Usage Detail'!$B$5:$B$204="Tasting")+('Usage Detail'!$B$5:$B$204="Promotional")),ROW(A130))),"")</f>
        <v/>
      </c>
      <c r="E138" s="4">
        <f>IFERROR(INDEX('Usage Detail'!$E:$E,AGGREGATE(15,6,ROW('Usage Detail'!$A$5:$A$204)/(('Usage Detail'!$B$5:$B$204="Tasting")+('Usage Detail'!$B$5:$B$204="Promotional")),ROW(A130))),"")</f>
        <v/>
      </c>
      <c r="F138" s="4">
        <f>IFERROR(INDEX('Usage Detail'!$F:$F,AGGREGATE(15,6,ROW('Usage Detail'!$A$5:$A$204)/(('Usage Detail'!$B$5:$B$204="Tasting")+('Usage Detail'!$B$5:$B$204="Promotional")),ROW(A130))),"")</f>
        <v/>
      </c>
      <c r="G138" s="4">
        <f>IFERROR(INDEX('Usage Detail'!$G:$G,AGGREGATE(15,6,ROW('Usage Detail'!$A$5:$A$204)/(('Usage Detail'!$B$5:$B$204="Tasting")+('Usage Detail'!$B$5:$B$204="Promotional")),ROW(A130))),"")</f>
        <v/>
      </c>
      <c r="H138" s="4">
        <f>IFERROR(INDEX('Usage Detail'!$H:$H,AGGREGATE(15,6,ROW('Usage Detail'!$A$5:$A$204)/(('Usage Detail'!$B$5:$B$204="Tasting")+('Usage Detail'!$B$5:$B$204="Promotional")),ROW(A130))),"")</f>
        <v/>
      </c>
    </row>
    <row r="139">
      <c r="A139" s="3">
        <f>IFERROR(INDEX('Usage Detail'!$A:$A,AGGREGATE(15,6,ROW('Usage Detail'!$A$5:$A$204)/(('Usage Detail'!$B$5:$B$204="Tasting")+('Usage Detail'!$B$5:$B$204="Promotional")),ROW(A131))),"")</f>
        <v/>
      </c>
      <c r="B139" s="3">
        <f>IFERROR(INDEX('Usage Detail'!$B:$B,AGGREGATE(15,6,ROW('Usage Detail'!$A$5:$A$204)/(('Usage Detail'!$B$5:$B$204="Tasting")+('Usage Detail'!$B$5:$B$204="Promotional")),ROW(A131))),"")</f>
        <v/>
      </c>
      <c r="C139" s="3">
        <f>IFERROR(INDEX('Usage Detail'!$C:$C,AGGREGATE(15,6,ROW('Usage Detail'!$A$5:$A$204)/(('Usage Detail'!$B$5:$B$204="Tasting")+('Usage Detail'!$B$5:$B$204="Promotional")),ROW(A131))),"")</f>
        <v/>
      </c>
      <c r="D139" s="3">
        <f>IFERROR(INDEX('Usage Detail'!$D:$D,AGGREGATE(15,6,ROW('Usage Detail'!$A$5:$A$204)/(('Usage Detail'!$B$5:$B$204="Tasting")+('Usage Detail'!$B$5:$B$204="Promotional")),ROW(A131))),"")</f>
        <v/>
      </c>
      <c r="E139" s="4">
        <f>IFERROR(INDEX('Usage Detail'!$E:$E,AGGREGATE(15,6,ROW('Usage Detail'!$A$5:$A$204)/(('Usage Detail'!$B$5:$B$204="Tasting")+('Usage Detail'!$B$5:$B$204="Promotional")),ROW(A131))),"")</f>
        <v/>
      </c>
      <c r="F139" s="4">
        <f>IFERROR(INDEX('Usage Detail'!$F:$F,AGGREGATE(15,6,ROW('Usage Detail'!$A$5:$A$204)/(('Usage Detail'!$B$5:$B$204="Tasting")+('Usage Detail'!$B$5:$B$204="Promotional")),ROW(A131))),"")</f>
        <v/>
      </c>
      <c r="G139" s="4">
        <f>IFERROR(INDEX('Usage Detail'!$G:$G,AGGREGATE(15,6,ROW('Usage Detail'!$A$5:$A$204)/(('Usage Detail'!$B$5:$B$204="Tasting")+('Usage Detail'!$B$5:$B$204="Promotional")),ROW(A131))),"")</f>
        <v/>
      </c>
      <c r="H139" s="4">
        <f>IFERROR(INDEX('Usage Detail'!$H:$H,AGGREGATE(15,6,ROW('Usage Detail'!$A$5:$A$204)/(('Usage Detail'!$B$5:$B$204="Tasting")+('Usage Detail'!$B$5:$B$204="Promotional")),ROW(A131))),"")</f>
        <v/>
      </c>
    </row>
    <row r="140">
      <c r="A140" s="3">
        <f>IFERROR(INDEX('Usage Detail'!$A:$A,AGGREGATE(15,6,ROW('Usage Detail'!$A$5:$A$204)/(('Usage Detail'!$B$5:$B$204="Tasting")+('Usage Detail'!$B$5:$B$204="Promotional")),ROW(A132))),"")</f>
        <v/>
      </c>
      <c r="B140" s="3">
        <f>IFERROR(INDEX('Usage Detail'!$B:$B,AGGREGATE(15,6,ROW('Usage Detail'!$A$5:$A$204)/(('Usage Detail'!$B$5:$B$204="Tasting")+('Usage Detail'!$B$5:$B$204="Promotional")),ROW(A132))),"")</f>
        <v/>
      </c>
      <c r="C140" s="3">
        <f>IFERROR(INDEX('Usage Detail'!$C:$C,AGGREGATE(15,6,ROW('Usage Detail'!$A$5:$A$204)/(('Usage Detail'!$B$5:$B$204="Tasting")+('Usage Detail'!$B$5:$B$204="Promotional")),ROW(A132))),"")</f>
        <v/>
      </c>
      <c r="D140" s="3">
        <f>IFERROR(INDEX('Usage Detail'!$D:$D,AGGREGATE(15,6,ROW('Usage Detail'!$A$5:$A$204)/(('Usage Detail'!$B$5:$B$204="Tasting")+('Usage Detail'!$B$5:$B$204="Promotional")),ROW(A132))),"")</f>
        <v/>
      </c>
      <c r="E140" s="4">
        <f>IFERROR(INDEX('Usage Detail'!$E:$E,AGGREGATE(15,6,ROW('Usage Detail'!$A$5:$A$204)/(('Usage Detail'!$B$5:$B$204="Tasting")+('Usage Detail'!$B$5:$B$204="Promotional")),ROW(A132))),"")</f>
        <v/>
      </c>
      <c r="F140" s="4">
        <f>IFERROR(INDEX('Usage Detail'!$F:$F,AGGREGATE(15,6,ROW('Usage Detail'!$A$5:$A$204)/(('Usage Detail'!$B$5:$B$204="Tasting")+('Usage Detail'!$B$5:$B$204="Promotional")),ROW(A132))),"")</f>
        <v/>
      </c>
      <c r="G140" s="4">
        <f>IFERROR(INDEX('Usage Detail'!$G:$G,AGGREGATE(15,6,ROW('Usage Detail'!$A$5:$A$204)/(('Usage Detail'!$B$5:$B$204="Tasting")+('Usage Detail'!$B$5:$B$204="Promotional")),ROW(A132))),"")</f>
        <v/>
      </c>
      <c r="H140" s="4">
        <f>IFERROR(INDEX('Usage Detail'!$H:$H,AGGREGATE(15,6,ROW('Usage Detail'!$A$5:$A$204)/(('Usage Detail'!$B$5:$B$204="Tasting")+('Usage Detail'!$B$5:$B$204="Promotional")),ROW(A132))),"")</f>
        <v/>
      </c>
    </row>
    <row r="141">
      <c r="A141" s="3">
        <f>IFERROR(INDEX('Usage Detail'!$A:$A,AGGREGATE(15,6,ROW('Usage Detail'!$A$5:$A$204)/(('Usage Detail'!$B$5:$B$204="Tasting")+('Usage Detail'!$B$5:$B$204="Promotional")),ROW(A133))),"")</f>
        <v/>
      </c>
      <c r="B141" s="3">
        <f>IFERROR(INDEX('Usage Detail'!$B:$B,AGGREGATE(15,6,ROW('Usage Detail'!$A$5:$A$204)/(('Usage Detail'!$B$5:$B$204="Tasting")+('Usage Detail'!$B$5:$B$204="Promotional")),ROW(A133))),"")</f>
        <v/>
      </c>
      <c r="C141" s="3">
        <f>IFERROR(INDEX('Usage Detail'!$C:$C,AGGREGATE(15,6,ROW('Usage Detail'!$A$5:$A$204)/(('Usage Detail'!$B$5:$B$204="Tasting")+('Usage Detail'!$B$5:$B$204="Promotional")),ROW(A133))),"")</f>
        <v/>
      </c>
      <c r="D141" s="3">
        <f>IFERROR(INDEX('Usage Detail'!$D:$D,AGGREGATE(15,6,ROW('Usage Detail'!$A$5:$A$204)/(('Usage Detail'!$B$5:$B$204="Tasting")+('Usage Detail'!$B$5:$B$204="Promotional")),ROW(A133))),"")</f>
        <v/>
      </c>
      <c r="E141" s="4">
        <f>IFERROR(INDEX('Usage Detail'!$E:$E,AGGREGATE(15,6,ROW('Usage Detail'!$A$5:$A$204)/(('Usage Detail'!$B$5:$B$204="Tasting")+('Usage Detail'!$B$5:$B$204="Promotional")),ROW(A133))),"")</f>
        <v/>
      </c>
      <c r="F141" s="4">
        <f>IFERROR(INDEX('Usage Detail'!$F:$F,AGGREGATE(15,6,ROW('Usage Detail'!$A$5:$A$204)/(('Usage Detail'!$B$5:$B$204="Tasting")+('Usage Detail'!$B$5:$B$204="Promotional")),ROW(A133))),"")</f>
        <v/>
      </c>
      <c r="G141" s="4">
        <f>IFERROR(INDEX('Usage Detail'!$G:$G,AGGREGATE(15,6,ROW('Usage Detail'!$A$5:$A$204)/(('Usage Detail'!$B$5:$B$204="Tasting")+('Usage Detail'!$B$5:$B$204="Promotional")),ROW(A133))),"")</f>
        <v/>
      </c>
      <c r="H141" s="4">
        <f>IFERROR(INDEX('Usage Detail'!$H:$H,AGGREGATE(15,6,ROW('Usage Detail'!$A$5:$A$204)/(('Usage Detail'!$B$5:$B$204="Tasting")+('Usage Detail'!$B$5:$B$204="Promotional")),ROW(A133))),"")</f>
        <v/>
      </c>
    </row>
    <row r="142">
      <c r="A142" s="3">
        <f>IFERROR(INDEX('Usage Detail'!$A:$A,AGGREGATE(15,6,ROW('Usage Detail'!$A$5:$A$204)/(('Usage Detail'!$B$5:$B$204="Tasting")+('Usage Detail'!$B$5:$B$204="Promotional")),ROW(A134))),"")</f>
        <v/>
      </c>
      <c r="B142" s="3">
        <f>IFERROR(INDEX('Usage Detail'!$B:$B,AGGREGATE(15,6,ROW('Usage Detail'!$A$5:$A$204)/(('Usage Detail'!$B$5:$B$204="Tasting")+('Usage Detail'!$B$5:$B$204="Promotional")),ROW(A134))),"")</f>
        <v/>
      </c>
      <c r="C142" s="3">
        <f>IFERROR(INDEX('Usage Detail'!$C:$C,AGGREGATE(15,6,ROW('Usage Detail'!$A$5:$A$204)/(('Usage Detail'!$B$5:$B$204="Tasting")+('Usage Detail'!$B$5:$B$204="Promotional")),ROW(A134))),"")</f>
        <v/>
      </c>
      <c r="D142" s="3">
        <f>IFERROR(INDEX('Usage Detail'!$D:$D,AGGREGATE(15,6,ROW('Usage Detail'!$A$5:$A$204)/(('Usage Detail'!$B$5:$B$204="Tasting")+('Usage Detail'!$B$5:$B$204="Promotional")),ROW(A134))),"")</f>
        <v/>
      </c>
      <c r="E142" s="4">
        <f>IFERROR(INDEX('Usage Detail'!$E:$E,AGGREGATE(15,6,ROW('Usage Detail'!$A$5:$A$204)/(('Usage Detail'!$B$5:$B$204="Tasting")+('Usage Detail'!$B$5:$B$204="Promotional")),ROW(A134))),"")</f>
        <v/>
      </c>
      <c r="F142" s="4">
        <f>IFERROR(INDEX('Usage Detail'!$F:$F,AGGREGATE(15,6,ROW('Usage Detail'!$A$5:$A$204)/(('Usage Detail'!$B$5:$B$204="Tasting")+('Usage Detail'!$B$5:$B$204="Promotional")),ROW(A134))),"")</f>
        <v/>
      </c>
      <c r="G142" s="4">
        <f>IFERROR(INDEX('Usage Detail'!$G:$G,AGGREGATE(15,6,ROW('Usage Detail'!$A$5:$A$204)/(('Usage Detail'!$B$5:$B$204="Tasting")+('Usage Detail'!$B$5:$B$204="Promotional")),ROW(A134))),"")</f>
        <v/>
      </c>
      <c r="H142" s="4">
        <f>IFERROR(INDEX('Usage Detail'!$H:$H,AGGREGATE(15,6,ROW('Usage Detail'!$A$5:$A$204)/(('Usage Detail'!$B$5:$B$204="Tasting")+('Usage Detail'!$B$5:$B$204="Promotional")),ROW(A134))),"")</f>
        <v/>
      </c>
    </row>
    <row r="143">
      <c r="A143" s="3">
        <f>IFERROR(INDEX('Usage Detail'!$A:$A,AGGREGATE(15,6,ROW('Usage Detail'!$A$5:$A$204)/(('Usage Detail'!$B$5:$B$204="Tasting")+('Usage Detail'!$B$5:$B$204="Promotional")),ROW(A135))),"")</f>
        <v/>
      </c>
      <c r="B143" s="3">
        <f>IFERROR(INDEX('Usage Detail'!$B:$B,AGGREGATE(15,6,ROW('Usage Detail'!$A$5:$A$204)/(('Usage Detail'!$B$5:$B$204="Tasting")+('Usage Detail'!$B$5:$B$204="Promotional")),ROW(A135))),"")</f>
        <v/>
      </c>
      <c r="C143" s="3">
        <f>IFERROR(INDEX('Usage Detail'!$C:$C,AGGREGATE(15,6,ROW('Usage Detail'!$A$5:$A$204)/(('Usage Detail'!$B$5:$B$204="Tasting")+('Usage Detail'!$B$5:$B$204="Promotional")),ROW(A135))),"")</f>
        <v/>
      </c>
      <c r="D143" s="3">
        <f>IFERROR(INDEX('Usage Detail'!$D:$D,AGGREGATE(15,6,ROW('Usage Detail'!$A$5:$A$204)/(('Usage Detail'!$B$5:$B$204="Tasting")+('Usage Detail'!$B$5:$B$204="Promotional")),ROW(A135))),"")</f>
        <v/>
      </c>
      <c r="E143" s="4">
        <f>IFERROR(INDEX('Usage Detail'!$E:$E,AGGREGATE(15,6,ROW('Usage Detail'!$A$5:$A$204)/(('Usage Detail'!$B$5:$B$204="Tasting")+('Usage Detail'!$B$5:$B$204="Promotional")),ROW(A135))),"")</f>
        <v/>
      </c>
      <c r="F143" s="4">
        <f>IFERROR(INDEX('Usage Detail'!$F:$F,AGGREGATE(15,6,ROW('Usage Detail'!$A$5:$A$204)/(('Usage Detail'!$B$5:$B$204="Tasting")+('Usage Detail'!$B$5:$B$204="Promotional")),ROW(A135))),"")</f>
        <v/>
      </c>
      <c r="G143" s="4">
        <f>IFERROR(INDEX('Usage Detail'!$G:$G,AGGREGATE(15,6,ROW('Usage Detail'!$A$5:$A$204)/(('Usage Detail'!$B$5:$B$204="Tasting")+('Usage Detail'!$B$5:$B$204="Promotional")),ROW(A135))),"")</f>
        <v/>
      </c>
      <c r="H143" s="4">
        <f>IFERROR(INDEX('Usage Detail'!$H:$H,AGGREGATE(15,6,ROW('Usage Detail'!$A$5:$A$204)/(('Usage Detail'!$B$5:$B$204="Tasting")+('Usage Detail'!$B$5:$B$204="Promotional")),ROW(A135))),"")</f>
        <v/>
      </c>
    </row>
    <row r="144">
      <c r="A144" s="3">
        <f>IFERROR(INDEX('Usage Detail'!$A:$A,AGGREGATE(15,6,ROW('Usage Detail'!$A$5:$A$204)/(('Usage Detail'!$B$5:$B$204="Tasting")+('Usage Detail'!$B$5:$B$204="Promotional")),ROW(A136))),"")</f>
        <v/>
      </c>
      <c r="B144" s="3">
        <f>IFERROR(INDEX('Usage Detail'!$B:$B,AGGREGATE(15,6,ROW('Usage Detail'!$A$5:$A$204)/(('Usage Detail'!$B$5:$B$204="Tasting")+('Usage Detail'!$B$5:$B$204="Promotional")),ROW(A136))),"")</f>
        <v/>
      </c>
      <c r="C144" s="3">
        <f>IFERROR(INDEX('Usage Detail'!$C:$C,AGGREGATE(15,6,ROW('Usage Detail'!$A$5:$A$204)/(('Usage Detail'!$B$5:$B$204="Tasting")+('Usage Detail'!$B$5:$B$204="Promotional")),ROW(A136))),"")</f>
        <v/>
      </c>
      <c r="D144" s="3">
        <f>IFERROR(INDEX('Usage Detail'!$D:$D,AGGREGATE(15,6,ROW('Usage Detail'!$A$5:$A$204)/(('Usage Detail'!$B$5:$B$204="Tasting")+('Usage Detail'!$B$5:$B$204="Promotional")),ROW(A136))),"")</f>
        <v/>
      </c>
      <c r="E144" s="4">
        <f>IFERROR(INDEX('Usage Detail'!$E:$E,AGGREGATE(15,6,ROW('Usage Detail'!$A$5:$A$204)/(('Usage Detail'!$B$5:$B$204="Tasting")+('Usage Detail'!$B$5:$B$204="Promotional")),ROW(A136))),"")</f>
        <v/>
      </c>
      <c r="F144" s="4">
        <f>IFERROR(INDEX('Usage Detail'!$F:$F,AGGREGATE(15,6,ROW('Usage Detail'!$A$5:$A$204)/(('Usage Detail'!$B$5:$B$204="Tasting")+('Usage Detail'!$B$5:$B$204="Promotional")),ROW(A136))),"")</f>
        <v/>
      </c>
      <c r="G144" s="4">
        <f>IFERROR(INDEX('Usage Detail'!$G:$G,AGGREGATE(15,6,ROW('Usage Detail'!$A$5:$A$204)/(('Usage Detail'!$B$5:$B$204="Tasting")+('Usage Detail'!$B$5:$B$204="Promotional")),ROW(A136))),"")</f>
        <v/>
      </c>
      <c r="H144" s="4">
        <f>IFERROR(INDEX('Usage Detail'!$H:$H,AGGREGATE(15,6,ROW('Usage Detail'!$A$5:$A$204)/(('Usage Detail'!$B$5:$B$204="Tasting")+('Usage Detail'!$B$5:$B$204="Promotional")),ROW(A136))),"")</f>
        <v/>
      </c>
    </row>
    <row r="145">
      <c r="A145" s="3">
        <f>IFERROR(INDEX('Usage Detail'!$A:$A,AGGREGATE(15,6,ROW('Usage Detail'!$A$5:$A$204)/(('Usage Detail'!$B$5:$B$204="Tasting")+('Usage Detail'!$B$5:$B$204="Promotional")),ROW(A137))),"")</f>
        <v/>
      </c>
      <c r="B145" s="3">
        <f>IFERROR(INDEX('Usage Detail'!$B:$B,AGGREGATE(15,6,ROW('Usage Detail'!$A$5:$A$204)/(('Usage Detail'!$B$5:$B$204="Tasting")+('Usage Detail'!$B$5:$B$204="Promotional")),ROW(A137))),"")</f>
        <v/>
      </c>
      <c r="C145" s="3">
        <f>IFERROR(INDEX('Usage Detail'!$C:$C,AGGREGATE(15,6,ROW('Usage Detail'!$A$5:$A$204)/(('Usage Detail'!$B$5:$B$204="Tasting")+('Usage Detail'!$B$5:$B$204="Promotional")),ROW(A137))),"")</f>
        <v/>
      </c>
      <c r="D145" s="3">
        <f>IFERROR(INDEX('Usage Detail'!$D:$D,AGGREGATE(15,6,ROW('Usage Detail'!$A$5:$A$204)/(('Usage Detail'!$B$5:$B$204="Tasting")+('Usage Detail'!$B$5:$B$204="Promotional")),ROW(A137))),"")</f>
        <v/>
      </c>
      <c r="E145" s="4">
        <f>IFERROR(INDEX('Usage Detail'!$E:$E,AGGREGATE(15,6,ROW('Usage Detail'!$A$5:$A$204)/(('Usage Detail'!$B$5:$B$204="Tasting")+('Usage Detail'!$B$5:$B$204="Promotional")),ROW(A137))),"")</f>
        <v/>
      </c>
      <c r="F145" s="4">
        <f>IFERROR(INDEX('Usage Detail'!$F:$F,AGGREGATE(15,6,ROW('Usage Detail'!$A$5:$A$204)/(('Usage Detail'!$B$5:$B$204="Tasting")+('Usage Detail'!$B$5:$B$204="Promotional")),ROW(A137))),"")</f>
        <v/>
      </c>
      <c r="G145" s="4">
        <f>IFERROR(INDEX('Usage Detail'!$G:$G,AGGREGATE(15,6,ROW('Usage Detail'!$A$5:$A$204)/(('Usage Detail'!$B$5:$B$204="Tasting")+('Usage Detail'!$B$5:$B$204="Promotional")),ROW(A137))),"")</f>
        <v/>
      </c>
      <c r="H145" s="4">
        <f>IFERROR(INDEX('Usage Detail'!$H:$H,AGGREGATE(15,6,ROW('Usage Detail'!$A$5:$A$204)/(('Usage Detail'!$B$5:$B$204="Tasting")+('Usage Detail'!$B$5:$B$204="Promotional")),ROW(A137))),"")</f>
        <v/>
      </c>
    </row>
    <row r="146">
      <c r="A146" s="3">
        <f>IFERROR(INDEX('Usage Detail'!$A:$A,AGGREGATE(15,6,ROW('Usage Detail'!$A$5:$A$204)/(('Usage Detail'!$B$5:$B$204="Tasting")+('Usage Detail'!$B$5:$B$204="Promotional")),ROW(A138))),"")</f>
        <v/>
      </c>
      <c r="B146" s="3">
        <f>IFERROR(INDEX('Usage Detail'!$B:$B,AGGREGATE(15,6,ROW('Usage Detail'!$A$5:$A$204)/(('Usage Detail'!$B$5:$B$204="Tasting")+('Usage Detail'!$B$5:$B$204="Promotional")),ROW(A138))),"")</f>
        <v/>
      </c>
      <c r="C146" s="3">
        <f>IFERROR(INDEX('Usage Detail'!$C:$C,AGGREGATE(15,6,ROW('Usage Detail'!$A$5:$A$204)/(('Usage Detail'!$B$5:$B$204="Tasting")+('Usage Detail'!$B$5:$B$204="Promotional")),ROW(A138))),"")</f>
        <v/>
      </c>
      <c r="D146" s="3">
        <f>IFERROR(INDEX('Usage Detail'!$D:$D,AGGREGATE(15,6,ROW('Usage Detail'!$A$5:$A$204)/(('Usage Detail'!$B$5:$B$204="Tasting")+('Usage Detail'!$B$5:$B$204="Promotional")),ROW(A138))),"")</f>
        <v/>
      </c>
      <c r="E146" s="4">
        <f>IFERROR(INDEX('Usage Detail'!$E:$E,AGGREGATE(15,6,ROW('Usage Detail'!$A$5:$A$204)/(('Usage Detail'!$B$5:$B$204="Tasting")+('Usage Detail'!$B$5:$B$204="Promotional")),ROW(A138))),"")</f>
        <v/>
      </c>
      <c r="F146" s="4">
        <f>IFERROR(INDEX('Usage Detail'!$F:$F,AGGREGATE(15,6,ROW('Usage Detail'!$A$5:$A$204)/(('Usage Detail'!$B$5:$B$204="Tasting")+('Usage Detail'!$B$5:$B$204="Promotional")),ROW(A138))),"")</f>
        <v/>
      </c>
      <c r="G146" s="4">
        <f>IFERROR(INDEX('Usage Detail'!$G:$G,AGGREGATE(15,6,ROW('Usage Detail'!$A$5:$A$204)/(('Usage Detail'!$B$5:$B$204="Tasting")+('Usage Detail'!$B$5:$B$204="Promotional")),ROW(A138))),"")</f>
        <v/>
      </c>
      <c r="H146" s="4">
        <f>IFERROR(INDEX('Usage Detail'!$H:$H,AGGREGATE(15,6,ROW('Usage Detail'!$A$5:$A$204)/(('Usage Detail'!$B$5:$B$204="Tasting")+('Usage Detail'!$B$5:$B$204="Promotional")),ROW(A138))),"")</f>
        <v/>
      </c>
    </row>
    <row r="147">
      <c r="A147" s="3">
        <f>IFERROR(INDEX('Usage Detail'!$A:$A,AGGREGATE(15,6,ROW('Usage Detail'!$A$5:$A$204)/(('Usage Detail'!$B$5:$B$204="Tasting")+('Usage Detail'!$B$5:$B$204="Promotional")),ROW(A139))),"")</f>
        <v/>
      </c>
      <c r="B147" s="3">
        <f>IFERROR(INDEX('Usage Detail'!$B:$B,AGGREGATE(15,6,ROW('Usage Detail'!$A$5:$A$204)/(('Usage Detail'!$B$5:$B$204="Tasting")+('Usage Detail'!$B$5:$B$204="Promotional")),ROW(A139))),"")</f>
        <v/>
      </c>
      <c r="C147" s="3">
        <f>IFERROR(INDEX('Usage Detail'!$C:$C,AGGREGATE(15,6,ROW('Usage Detail'!$A$5:$A$204)/(('Usage Detail'!$B$5:$B$204="Tasting")+('Usage Detail'!$B$5:$B$204="Promotional")),ROW(A139))),"")</f>
        <v/>
      </c>
      <c r="D147" s="3">
        <f>IFERROR(INDEX('Usage Detail'!$D:$D,AGGREGATE(15,6,ROW('Usage Detail'!$A$5:$A$204)/(('Usage Detail'!$B$5:$B$204="Tasting")+('Usage Detail'!$B$5:$B$204="Promotional")),ROW(A139))),"")</f>
        <v/>
      </c>
      <c r="E147" s="4">
        <f>IFERROR(INDEX('Usage Detail'!$E:$E,AGGREGATE(15,6,ROW('Usage Detail'!$A$5:$A$204)/(('Usage Detail'!$B$5:$B$204="Tasting")+('Usage Detail'!$B$5:$B$204="Promotional")),ROW(A139))),"")</f>
        <v/>
      </c>
      <c r="F147" s="4">
        <f>IFERROR(INDEX('Usage Detail'!$F:$F,AGGREGATE(15,6,ROW('Usage Detail'!$A$5:$A$204)/(('Usage Detail'!$B$5:$B$204="Tasting")+('Usage Detail'!$B$5:$B$204="Promotional")),ROW(A139))),"")</f>
        <v/>
      </c>
      <c r="G147" s="4">
        <f>IFERROR(INDEX('Usage Detail'!$G:$G,AGGREGATE(15,6,ROW('Usage Detail'!$A$5:$A$204)/(('Usage Detail'!$B$5:$B$204="Tasting")+('Usage Detail'!$B$5:$B$204="Promotional")),ROW(A139))),"")</f>
        <v/>
      </c>
      <c r="H147" s="4">
        <f>IFERROR(INDEX('Usage Detail'!$H:$H,AGGREGATE(15,6,ROW('Usage Detail'!$A$5:$A$204)/(('Usage Detail'!$B$5:$B$204="Tasting")+('Usage Detail'!$B$5:$B$204="Promotional")),ROW(A139))),"")</f>
        <v/>
      </c>
    </row>
    <row r="148">
      <c r="A148" s="3">
        <f>IFERROR(INDEX('Usage Detail'!$A:$A,AGGREGATE(15,6,ROW('Usage Detail'!$A$5:$A$204)/(('Usage Detail'!$B$5:$B$204="Tasting")+('Usage Detail'!$B$5:$B$204="Promotional")),ROW(A140))),"")</f>
        <v/>
      </c>
      <c r="B148" s="3">
        <f>IFERROR(INDEX('Usage Detail'!$B:$B,AGGREGATE(15,6,ROW('Usage Detail'!$A$5:$A$204)/(('Usage Detail'!$B$5:$B$204="Tasting")+('Usage Detail'!$B$5:$B$204="Promotional")),ROW(A140))),"")</f>
        <v/>
      </c>
      <c r="C148" s="3">
        <f>IFERROR(INDEX('Usage Detail'!$C:$C,AGGREGATE(15,6,ROW('Usage Detail'!$A$5:$A$204)/(('Usage Detail'!$B$5:$B$204="Tasting")+('Usage Detail'!$B$5:$B$204="Promotional")),ROW(A140))),"")</f>
        <v/>
      </c>
      <c r="D148" s="3">
        <f>IFERROR(INDEX('Usage Detail'!$D:$D,AGGREGATE(15,6,ROW('Usage Detail'!$A$5:$A$204)/(('Usage Detail'!$B$5:$B$204="Tasting")+('Usage Detail'!$B$5:$B$204="Promotional")),ROW(A140))),"")</f>
        <v/>
      </c>
      <c r="E148" s="4">
        <f>IFERROR(INDEX('Usage Detail'!$E:$E,AGGREGATE(15,6,ROW('Usage Detail'!$A$5:$A$204)/(('Usage Detail'!$B$5:$B$204="Tasting")+('Usage Detail'!$B$5:$B$204="Promotional")),ROW(A140))),"")</f>
        <v/>
      </c>
      <c r="F148" s="4">
        <f>IFERROR(INDEX('Usage Detail'!$F:$F,AGGREGATE(15,6,ROW('Usage Detail'!$A$5:$A$204)/(('Usage Detail'!$B$5:$B$204="Tasting")+('Usage Detail'!$B$5:$B$204="Promotional")),ROW(A140))),"")</f>
        <v/>
      </c>
      <c r="G148" s="4">
        <f>IFERROR(INDEX('Usage Detail'!$G:$G,AGGREGATE(15,6,ROW('Usage Detail'!$A$5:$A$204)/(('Usage Detail'!$B$5:$B$204="Tasting")+('Usage Detail'!$B$5:$B$204="Promotional")),ROW(A140))),"")</f>
        <v/>
      </c>
      <c r="H148" s="4">
        <f>IFERROR(INDEX('Usage Detail'!$H:$H,AGGREGATE(15,6,ROW('Usage Detail'!$A$5:$A$204)/(('Usage Detail'!$B$5:$B$204="Tasting")+('Usage Detail'!$B$5:$B$204="Promotional")),ROW(A140))),"")</f>
        <v/>
      </c>
    </row>
    <row r="149">
      <c r="A149" s="3">
        <f>IFERROR(INDEX('Usage Detail'!$A:$A,AGGREGATE(15,6,ROW('Usage Detail'!$A$5:$A$204)/(('Usage Detail'!$B$5:$B$204="Tasting")+('Usage Detail'!$B$5:$B$204="Promotional")),ROW(A141))),"")</f>
        <v/>
      </c>
      <c r="B149" s="3">
        <f>IFERROR(INDEX('Usage Detail'!$B:$B,AGGREGATE(15,6,ROW('Usage Detail'!$A$5:$A$204)/(('Usage Detail'!$B$5:$B$204="Tasting")+('Usage Detail'!$B$5:$B$204="Promotional")),ROW(A141))),"")</f>
        <v/>
      </c>
      <c r="C149" s="3">
        <f>IFERROR(INDEX('Usage Detail'!$C:$C,AGGREGATE(15,6,ROW('Usage Detail'!$A$5:$A$204)/(('Usage Detail'!$B$5:$B$204="Tasting")+('Usage Detail'!$B$5:$B$204="Promotional")),ROW(A141))),"")</f>
        <v/>
      </c>
      <c r="D149" s="3">
        <f>IFERROR(INDEX('Usage Detail'!$D:$D,AGGREGATE(15,6,ROW('Usage Detail'!$A$5:$A$204)/(('Usage Detail'!$B$5:$B$204="Tasting")+('Usage Detail'!$B$5:$B$204="Promotional")),ROW(A141))),"")</f>
        <v/>
      </c>
      <c r="E149" s="4">
        <f>IFERROR(INDEX('Usage Detail'!$E:$E,AGGREGATE(15,6,ROW('Usage Detail'!$A$5:$A$204)/(('Usage Detail'!$B$5:$B$204="Tasting")+('Usage Detail'!$B$5:$B$204="Promotional")),ROW(A141))),"")</f>
        <v/>
      </c>
      <c r="F149" s="4">
        <f>IFERROR(INDEX('Usage Detail'!$F:$F,AGGREGATE(15,6,ROW('Usage Detail'!$A$5:$A$204)/(('Usage Detail'!$B$5:$B$204="Tasting")+('Usage Detail'!$B$5:$B$204="Promotional")),ROW(A141))),"")</f>
        <v/>
      </c>
      <c r="G149" s="4">
        <f>IFERROR(INDEX('Usage Detail'!$G:$G,AGGREGATE(15,6,ROW('Usage Detail'!$A$5:$A$204)/(('Usage Detail'!$B$5:$B$204="Tasting")+('Usage Detail'!$B$5:$B$204="Promotional")),ROW(A141))),"")</f>
        <v/>
      </c>
      <c r="H149" s="4">
        <f>IFERROR(INDEX('Usage Detail'!$H:$H,AGGREGATE(15,6,ROW('Usage Detail'!$A$5:$A$204)/(('Usage Detail'!$B$5:$B$204="Tasting")+('Usage Detail'!$B$5:$B$204="Promotional")),ROW(A141))),"")</f>
        <v/>
      </c>
    </row>
    <row r="150">
      <c r="A150" s="3">
        <f>IFERROR(INDEX('Usage Detail'!$A:$A,AGGREGATE(15,6,ROW('Usage Detail'!$A$5:$A$204)/(('Usage Detail'!$B$5:$B$204="Tasting")+('Usage Detail'!$B$5:$B$204="Promotional")),ROW(A142))),"")</f>
        <v/>
      </c>
      <c r="B150" s="3">
        <f>IFERROR(INDEX('Usage Detail'!$B:$B,AGGREGATE(15,6,ROW('Usage Detail'!$A$5:$A$204)/(('Usage Detail'!$B$5:$B$204="Tasting")+('Usage Detail'!$B$5:$B$204="Promotional")),ROW(A142))),"")</f>
        <v/>
      </c>
      <c r="C150" s="3">
        <f>IFERROR(INDEX('Usage Detail'!$C:$C,AGGREGATE(15,6,ROW('Usage Detail'!$A$5:$A$204)/(('Usage Detail'!$B$5:$B$204="Tasting")+('Usage Detail'!$B$5:$B$204="Promotional")),ROW(A142))),"")</f>
        <v/>
      </c>
      <c r="D150" s="3">
        <f>IFERROR(INDEX('Usage Detail'!$D:$D,AGGREGATE(15,6,ROW('Usage Detail'!$A$5:$A$204)/(('Usage Detail'!$B$5:$B$204="Tasting")+('Usage Detail'!$B$5:$B$204="Promotional")),ROW(A142))),"")</f>
        <v/>
      </c>
      <c r="E150" s="4">
        <f>IFERROR(INDEX('Usage Detail'!$E:$E,AGGREGATE(15,6,ROW('Usage Detail'!$A$5:$A$204)/(('Usage Detail'!$B$5:$B$204="Tasting")+('Usage Detail'!$B$5:$B$204="Promotional")),ROW(A142))),"")</f>
        <v/>
      </c>
      <c r="F150" s="4">
        <f>IFERROR(INDEX('Usage Detail'!$F:$F,AGGREGATE(15,6,ROW('Usage Detail'!$A$5:$A$204)/(('Usage Detail'!$B$5:$B$204="Tasting")+('Usage Detail'!$B$5:$B$204="Promotional")),ROW(A142))),"")</f>
        <v/>
      </c>
      <c r="G150" s="4">
        <f>IFERROR(INDEX('Usage Detail'!$G:$G,AGGREGATE(15,6,ROW('Usage Detail'!$A$5:$A$204)/(('Usage Detail'!$B$5:$B$204="Tasting")+('Usage Detail'!$B$5:$B$204="Promotional")),ROW(A142))),"")</f>
        <v/>
      </c>
      <c r="H150" s="4">
        <f>IFERROR(INDEX('Usage Detail'!$H:$H,AGGREGATE(15,6,ROW('Usage Detail'!$A$5:$A$204)/(('Usage Detail'!$B$5:$B$204="Tasting")+('Usage Detail'!$B$5:$B$204="Promotional")),ROW(A142))),"")</f>
        <v/>
      </c>
    </row>
    <row r="151">
      <c r="A151" s="3">
        <f>IFERROR(INDEX('Usage Detail'!$A:$A,AGGREGATE(15,6,ROW('Usage Detail'!$A$5:$A$204)/(('Usage Detail'!$B$5:$B$204="Tasting")+('Usage Detail'!$B$5:$B$204="Promotional")),ROW(A143))),"")</f>
        <v/>
      </c>
      <c r="B151" s="3">
        <f>IFERROR(INDEX('Usage Detail'!$B:$B,AGGREGATE(15,6,ROW('Usage Detail'!$A$5:$A$204)/(('Usage Detail'!$B$5:$B$204="Tasting")+('Usage Detail'!$B$5:$B$204="Promotional")),ROW(A143))),"")</f>
        <v/>
      </c>
      <c r="C151" s="3">
        <f>IFERROR(INDEX('Usage Detail'!$C:$C,AGGREGATE(15,6,ROW('Usage Detail'!$A$5:$A$204)/(('Usage Detail'!$B$5:$B$204="Tasting")+('Usage Detail'!$B$5:$B$204="Promotional")),ROW(A143))),"")</f>
        <v/>
      </c>
      <c r="D151" s="3">
        <f>IFERROR(INDEX('Usage Detail'!$D:$D,AGGREGATE(15,6,ROW('Usage Detail'!$A$5:$A$204)/(('Usage Detail'!$B$5:$B$204="Tasting")+('Usage Detail'!$B$5:$B$204="Promotional")),ROW(A143))),"")</f>
        <v/>
      </c>
      <c r="E151" s="4">
        <f>IFERROR(INDEX('Usage Detail'!$E:$E,AGGREGATE(15,6,ROW('Usage Detail'!$A$5:$A$204)/(('Usage Detail'!$B$5:$B$204="Tasting")+('Usage Detail'!$B$5:$B$204="Promotional")),ROW(A143))),"")</f>
        <v/>
      </c>
      <c r="F151" s="4">
        <f>IFERROR(INDEX('Usage Detail'!$F:$F,AGGREGATE(15,6,ROW('Usage Detail'!$A$5:$A$204)/(('Usage Detail'!$B$5:$B$204="Tasting")+('Usage Detail'!$B$5:$B$204="Promotional")),ROW(A143))),"")</f>
        <v/>
      </c>
      <c r="G151" s="4">
        <f>IFERROR(INDEX('Usage Detail'!$G:$G,AGGREGATE(15,6,ROW('Usage Detail'!$A$5:$A$204)/(('Usage Detail'!$B$5:$B$204="Tasting")+('Usage Detail'!$B$5:$B$204="Promotional")),ROW(A143))),"")</f>
        <v/>
      </c>
      <c r="H151" s="4">
        <f>IFERROR(INDEX('Usage Detail'!$H:$H,AGGREGATE(15,6,ROW('Usage Detail'!$A$5:$A$204)/(('Usage Detail'!$B$5:$B$204="Tasting")+('Usage Detail'!$B$5:$B$204="Promotional")),ROW(A143))),"")</f>
        <v/>
      </c>
    </row>
    <row r="152">
      <c r="A152" s="3">
        <f>IFERROR(INDEX('Usage Detail'!$A:$A,AGGREGATE(15,6,ROW('Usage Detail'!$A$5:$A$204)/(('Usage Detail'!$B$5:$B$204="Tasting")+('Usage Detail'!$B$5:$B$204="Promotional")),ROW(A144))),"")</f>
        <v/>
      </c>
      <c r="B152" s="3">
        <f>IFERROR(INDEX('Usage Detail'!$B:$B,AGGREGATE(15,6,ROW('Usage Detail'!$A$5:$A$204)/(('Usage Detail'!$B$5:$B$204="Tasting")+('Usage Detail'!$B$5:$B$204="Promotional")),ROW(A144))),"")</f>
        <v/>
      </c>
      <c r="C152" s="3">
        <f>IFERROR(INDEX('Usage Detail'!$C:$C,AGGREGATE(15,6,ROW('Usage Detail'!$A$5:$A$204)/(('Usage Detail'!$B$5:$B$204="Tasting")+('Usage Detail'!$B$5:$B$204="Promotional")),ROW(A144))),"")</f>
        <v/>
      </c>
      <c r="D152" s="3">
        <f>IFERROR(INDEX('Usage Detail'!$D:$D,AGGREGATE(15,6,ROW('Usage Detail'!$A$5:$A$204)/(('Usage Detail'!$B$5:$B$204="Tasting")+('Usage Detail'!$B$5:$B$204="Promotional")),ROW(A144))),"")</f>
        <v/>
      </c>
      <c r="E152" s="4">
        <f>IFERROR(INDEX('Usage Detail'!$E:$E,AGGREGATE(15,6,ROW('Usage Detail'!$A$5:$A$204)/(('Usage Detail'!$B$5:$B$204="Tasting")+('Usage Detail'!$B$5:$B$204="Promotional")),ROW(A144))),"")</f>
        <v/>
      </c>
      <c r="F152" s="4">
        <f>IFERROR(INDEX('Usage Detail'!$F:$F,AGGREGATE(15,6,ROW('Usage Detail'!$A$5:$A$204)/(('Usage Detail'!$B$5:$B$204="Tasting")+('Usage Detail'!$B$5:$B$204="Promotional")),ROW(A144))),"")</f>
        <v/>
      </c>
      <c r="G152" s="4">
        <f>IFERROR(INDEX('Usage Detail'!$G:$G,AGGREGATE(15,6,ROW('Usage Detail'!$A$5:$A$204)/(('Usage Detail'!$B$5:$B$204="Tasting")+('Usage Detail'!$B$5:$B$204="Promotional")),ROW(A144))),"")</f>
        <v/>
      </c>
      <c r="H152" s="4">
        <f>IFERROR(INDEX('Usage Detail'!$H:$H,AGGREGATE(15,6,ROW('Usage Detail'!$A$5:$A$204)/(('Usage Detail'!$B$5:$B$204="Tasting")+('Usage Detail'!$B$5:$B$204="Promotional")),ROW(A144))),"")</f>
        <v/>
      </c>
    </row>
    <row r="153">
      <c r="A153" s="3">
        <f>IFERROR(INDEX('Usage Detail'!$A:$A,AGGREGATE(15,6,ROW('Usage Detail'!$A$5:$A$204)/(('Usage Detail'!$B$5:$B$204="Tasting")+('Usage Detail'!$B$5:$B$204="Promotional")),ROW(A145))),"")</f>
        <v/>
      </c>
      <c r="B153" s="3">
        <f>IFERROR(INDEX('Usage Detail'!$B:$B,AGGREGATE(15,6,ROW('Usage Detail'!$A$5:$A$204)/(('Usage Detail'!$B$5:$B$204="Tasting")+('Usage Detail'!$B$5:$B$204="Promotional")),ROW(A145))),"")</f>
        <v/>
      </c>
      <c r="C153" s="3">
        <f>IFERROR(INDEX('Usage Detail'!$C:$C,AGGREGATE(15,6,ROW('Usage Detail'!$A$5:$A$204)/(('Usage Detail'!$B$5:$B$204="Tasting")+('Usage Detail'!$B$5:$B$204="Promotional")),ROW(A145))),"")</f>
        <v/>
      </c>
      <c r="D153" s="3">
        <f>IFERROR(INDEX('Usage Detail'!$D:$D,AGGREGATE(15,6,ROW('Usage Detail'!$A$5:$A$204)/(('Usage Detail'!$B$5:$B$204="Tasting")+('Usage Detail'!$B$5:$B$204="Promotional")),ROW(A145))),"")</f>
        <v/>
      </c>
      <c r="E153" s="4">
        <f>IFERROR(INDEX('Usage Detail'!$E:$E,AGGREGATE(15,6,ROW('Usage Detail'!$A$5:$A$204)/(('Usage Detail'!$B$5:$B$204="Tasting")+('Usage Detail'!$B$5:$B$204="Promotional")),ROW(A145))),"")</f>
        <v/>
      </c>
      <c r="F153" s="4">
        <f>IFERROR(INDEX('Usage Detail'!$F:$F,AGGREGATE(15,6,ROW('Usage Detail'!$A$5:$A$204)/(('Usage Detail'!$B$5:$B$204="Tasting")+('Usage Detail'!$B$5:$B$204="Promotional")),ROW(A145))),"")</f>
        <v/>
      </c>
      <c r="G153" s="4">
        <f>IFERROR(INDEX('Usage Detail'!$G:$G,AGGREGATE(15,6,ROW('Usage Detail'!$A$5:$A$204)/(('Usage Detail'!$B$5:$B$204="Tasting")+('Usage Detail'!$B$5:$B$204="Promotional")),ROW(A145))),"")</f>
        <v/>
      </c>
      <c r="H153" s="4">
        <f>IFERROR(INDEX('Usage Detail'!$H:$H,AGGREGATE(15,6,ROW('Usage Detail'!$A$5:$A$204)/(('Usage Detail'!$B$5:$B$204="Tasting")+('Usage Detail'!$B$5:$B$204="Promotional")),ROW(A145))),"")</f>
        <v/>
      </c>
    </row>
    <row r="154">
      <c r="A154" s="3">
        <f>IFERROR(INDEX('Usage Detail'!$A:$A,AGGREGATE(15,6,ROW('Usage Detail'!$A$5:$A$204)/(('Usage Detail'!$B$5:$B$204="Tasting")+('Usage Detail'!$B$5:$B$204="Promotional")),ROW(A146))),"")</f>
        <v/>
      </c>
      <c r="B154" s="3">
        <f>IFERROR(INDEX('Usage Detail'!$B:$B,AGGREGATE(15,6,ROW('Usage Detail'!$A$5:$A$204)/(('Usage Detail'!$B$5:$B$204="Tasting")+('Usage Detail'!$B$5:$B$204="Promotional")),ROW(A146))),"")</f>
        <v/>
      </c>
      <c r="C154" s="3">
        <f>IFERROR(INDEX('Usage Detail'!$C:$C,AGGREGATE(15,6,ROW('Usage Detail'!$A$5:$A$204)/(('Usage Detail'!$B$5:$B$204="Tasting")+('Usage Detail'!$B$5:$B$204="Promotional")),ROW(A146))),"")</f>
        <v/>
      </c>
      <c r="D154" s="3">
        <f>IFERROR(INDEX('Usage Detail'!$D:$D,AGGREGATE(15,6,ROW('Usage Detail'!$A$5:$A$204)/(('Usage Detail'!$B$5:$B$204="Tasting")+('Usage Detail'!$B$5:$B$204="Promotional")),ROW(A146))),"")</f>
        <v/>
      </c>
      <c r="E154" s="4">
        <f>IFERROR(INDEX('Usage Detail'!$E:$E,AGGREGATE(15,6,ROW('Usage Detail'!$A$5:$A$204)/(('Usage Detail'!$B$5:$B$204="Tasting")+('Usage Detail'!$B$5:$B$204="Promotional")),ROW(A146))),"")</f>
        <v/>
      </c>
      <c r="F154" s="4">
        <f>IFERROR(INDEX('Usage Detail'!$F:$F,AGGREGATE(15,6,ROW('Usage Detail'!$A$5:$A$204)/(('Usage Detail'!$B$5:$B$204="Tasting")+('Usage Detail'!$B$5:$B$204="Promotional")),ROW(A146))),"")</f>
        <v/>
      </c>
      <c r="G154" s="4">
        <f>IFERROR(INDEX('Usage Detail'!$G:$G,AGGREGATE(15,6,ROW('Usage Detail'!$A$5:$A$204)/(('Usage Detail'!$B$5:$B$204="Tasting")+('Usage Detail'!$B$5:$B$204="Promotional")),ROW(A146))),"")</f>
        <v/>
      </c>
      <c r="H154" s="4">
        <f>IFERROR(INDEX('Usage Detail'!$H:$H,AGGREGATE(15,6,ROW('Usage Detail'!$A$5:$A$204)/(('Usage Detail'!$B$5:$B$204="Tasting")+('Usage Detail'!$B$5:$B$204="Promotional")),ROW(A146))),"")</f>
        <v/>
      </c>
    </row>
    <row r="155">
      <c r="A155" s="3">
        <f>IFERROR(INDEX('Usage Detail'!$A:$A,AGGREGATE(15,6,ROW('Usage Detail'!$A$5:$A$204)/(('Usage Detail'!$B$5:$B$204="Tasting")+('Usage Detail'!$B$5:$B$204="Promotional")),ROW(A147))),"")</f>
        <v/>
      </c>
      <c r="B155" s="3">
        <f>IFERROR(INDEX('Usage Detail'!$B:$B,AGGREGATE(15,6,ROW('Usage Detail'!$A$5:$A$204)/(('Usage Detail'!$B$5:$B$204="Tasting")+('Usage Detail'!$B$5:$B$204="Promotional")),ROW(A147))),"")</f>
        <v/>
      </c>
      <c r="C155" s="3">
        <f>IFERROR(INDEX('Usage Detail'!$C:$C,AGGREGATE(15,6,ROW('Usage Detail'!$A$5:$A$204)/(('Usage Detail'!$B$5:$B$204="Tasting")+('Usage Detail'!$B$5:$B$204="Promotional")),ROW(A147))),"")</f>
        <v/>
      </c>
      <c r="D155" s="3">
        <f>IFERROR(INDEX('Usage Detail'!$D:$D,AGGREGATE(15,6,ROW('Usage Detail'!$A$5:$A$204)/(('Usage Detail'!$B$5:$B$204="Tasting")+('Usage Detail'!$B$5:$B$204="Promotional")),ROW(A147))),"")</f>
        <v/>
      </c>
      <c r="E155" s="4">
        <f>IFERROR(INDEX('Usage Detail'!$E:$E,AGGREGATE(15,6,ROW('Usage Detail'!$A$5:$A$204)/(('Usage Detail'!$B$5:$B$204="Tasting")+('Usage Detail'!$B$5:$B$204="Promotional")),ROW(A147))),"")</f>
        <v/>
      </c>
      <c r="F155" s="4">
        <f>IFERROR(INDEX('Usage Detail'!$F:$F,AGGREGATE(15,6,ROW('Usage Detail'!$A$5:$A$204)/(('Usage Detail'!$B$5:$B$204="Tasting")+('Usage Detail'!$B$5:$B$204="Promotional")),ROW(A147))),"")</f>
        <v/>
      </c>
      <c r="G155" s="4">
        <f>IFERROR(INDEX('Usage Detail'!$G:$G,AGGREGATE(15,6,ROW('Usage Detail'!$A$5:$A$204)/(('Usage Detail'!$B$5:$B$204="Tasting")+('Usage Detail'!$B$5:$B$204="Promotional")),ROW(A147))),"")</f>
        <v/>
      </c>
      <c r="H155" s="4">
        <f>IFERROR(INDEX('Usage Detail'!$H:$H,AGGREGATE(15,6,ROW('Usage Detail'!$A$5:$A$204)/(('Usage Detail'!$B$5:$B$204="Tasting")+('Usage Detail'!$B$5:$B$204="Promotional")),ROW(A147))),"")</f>
        <v/>
      </c>
    </row>
    <row r="156">
      <c r="A156" s="3">
        <f>IFERROR(INDEX('Usage Detail'!$A:$A,AGGREGATE(15,6,ROW('Usage Detail'!$A$5:$A$204)/(('Usage Detail'!$B$5:$B$204="Tasting")+('Usage Detail'!$B$5:$B$204="Promotional")),ROW(A148))),"")</f>
        <v/>
      </c>
      <c r="B156" s="3">
        <f>IFERROR(INDEX('Usage Detail'!$B:$B,AGGREGATE(15,6,ROW('Usage Detail'!$A$5:$A$204)/(('Usage Detail'!$B$5:$B$204="Tasting")+('Usage Detail'!$B$5:$B$204="Promotional")),ROW(A148))),"")</f>
        <v/>
      </c>
      <c r="C156" s="3">
        <f>IFERROR(INDEX('Usage Detail'!$C:$C,AGGREGATE(15,6,ROW('Usage Detail'!$A$5:$A$204)/(('Usage Detail'!$B$5:$B$204="Tasting")+('Usage Detail'!$B$5:$B$204="Promotional")),ROW(A148))),"")</f>
        <v/>
      </c>
      <c r="D156" s="3">
        <f>IFERROR(INDEX('Usage Detail'!$D:$D,AGGREGATE(15,6,ROW('Usage Detail'!$A$5:$A$204)/(('Usage Detail'!$B$5:$B$204="Tasting")+('Usage Detail'!$B$5:$B$204="Promotional")),ROW(A148))),"")</f>
        <v/>
      </c>
      <c r="E156" s="4">
        <f>IFERROR(INDEX('Usage Detail'!$E:$E,AGGREGATE(15,6,ROW('Usage Detail'!$A$5:$A$204)/(('Usage Detail'!$B$5:$B$204="Tasting")+('Usage Detail'!$B$5:$B$204="Promotional")),ROW(A148))),"")</f>
        <v/>
      </c>
      <c r="F156" s="4">
        <f>IFERROR(INDEX('Usage Detail'!$F:$F,AGGREGATE(15,6,ROW('Usage Detail'!$A$5:$A$204)/(('Usage Detail'!$B$5:$B$204="Tasting")+('Usage Detail'!$B$5:$B$204="Promotional")),ROW(A148))),"")</f>
        <v/>
      </c>
      <c r="G156" s="4">
        <f>IFERROR(INDEX('Usage Detail'!$G:$G,AGGREGATE(15,6,ROW('Usage Detail'!$A$5:$A$204)/(('Usage Detail'!$B$5:$B$204="Tasting")+('Usage Detail'!$B$5:$B$204="Promotional")),ROW(A148))),"")</f>
        <v/>
      </c>
      <c r="H156" s="4">
        <f>IFERROR(INDEX('Usage Detail'!$H:$H,AGGREGATE(15,6,ROW('Usage Detail'!$A$5:$A$204)/(('Usage Detail'!$B$5:$B$204="Tasting")+('Usage Detail'!$B$5:$B$204="Promotional")),ROW(A148))),"")</f>
        <v/>
      </c>
    </row>
    <row r="157">
      <c r="A157" s="3">
        <f>IFERROR(INDEX('Usage Detail'!$A:$A,AGGREGATE(15,6,ROW('Usage Detail'!$A$5:$A$204)/(('Usage Detail'!$B$5:$B$204="Tasting")+('Usage Detail'!$B$5:$B$204="Promotional")),ROW(A149))),"")</f>
        <v/>
      </c>
      <c r="B157" s="3">
        <f>IFERROR(INDEX('Usage Detail'!$B:$B,AGGREGATE(15,6,ROW('Usage Detail'!$A$5:$A$204)/(('Usage Detail'!$B$5:$B$204="Tasting")+('Usage Detail'!$B$5:$B$204="Promotional")),ROW(A149))),"")</f>
        <v/>
      </c>
      <c r="C157" s="3">
        <f>IFERROR(INDEX('Usage Detail'!$C:$C,AGGREGATE(15,6,ROW('Usage Detail'!$A$5:$A$204)/(('Usage Detail'!$B$5:$B$204="Tasting")+('Usage Detail'!$B$5:$B$204="Promotional")),ROW(A149))),"")</f>
        <v/>
      </c>
      <c r="D157" s="3">
        <f>IFERROR(INDEX('Usage Detail'!$D:$D,AGGREGATE(15,6,ROW('Usage Detail'!$A$5:$A$204)/(('Usage Detail'!$B$5:$B$204="Tasting")+('Usage Detail'!$B$5:$B$204="Promotional")),ROW(A149))),"")</f>
        <v/>
      </c>
      <c r="E157" s="4">
        <f>IFERROR(INDEX('Usage Detail'!$E:$E,AGGREGATE(15,6,ROW('Usage Detail'!$A$5:$A$204)/(('Usage Detail'!$B$5:$B$204="Tasting")+('Usage Detail'!$B$5:$B$204="Promotional")),ROW(A149))),"")</f>
        <v/>
      </c>
      <c r="F157" s="4">
        <f>IFERROR(INDEX('Usage Detail'!$F:$F,AGGREGATE(15,6,ROW('Usage Detail'!$A$5:$A$204)/(('Usage Detail'!$B$5:$B$204="Tasting")+('Usage Detail'!$B$5:$B$204="Promotional")),ROW(A149))),"")</f>
        <v/>
      </c>
      <c r="G157" s="4">
        <f>IFERROR(INDEX('Usage Detail'!$G:$G,AGGREGATE(15,6,ROW('Usage Detail'!$A$5:$A$204)/(('Usage Detail'!$B$5:$B$204="Tasting")+('Usage Detail'!$B$5:$B$204="Promotional")),ROW(A149))),"")</f>
        <v/>
      </c>
      <c r="H157" s="4">
        <f>IFERROR(INDEX('Usage Detail'!$H:$H,AGGREGATE(15,6,ROW('Usage Detail'!$A$5:$A$204)/(('Usage Detail'!$B$5:$B$204="Tasting")+('Usage Detail'!$B$5:$B$204="Promotional")),ROW(A149))),"")</f>
        <v/>
      </c>
    </row>
    <row r="158">
      <c r="A158" s="3">
        <f>IFERROR(INDEX('Usage Detail'!$A:$A,AGGREGATE(15,6,ROW('Usage Detail'!$A$5:$A$204)/(('Usage Detail'!$B$5:$B$204="Tasting")+('Usage Detail'!$B$5:$B$204="Promotional")),ROW(A150))),"")</f>
        <v/>
      </c>
      <c r="B158" s="3">
        <f>IFERROR(INDEX('Usage Detail'!$B:$B,AGGREGATE(15,6,ROW('Usage Detail'!$A$5:$A$204)/(('Usage Detail'!$B$5:$B$204="Tasting")+('Usage Detail'!$B$5:$B$204="Promotional")),ROW(A150))),"")</f>
        <v/>
      </c>
      <c r="C158" s="3">
        <f>IFERROR(INDEX('Usage Detail'!$C:$C,AGGREGATE(15,6,ROW('Usage Detail'!$A$5:$A$204)/(('Usage Detail'!$B$5:$B$204="Tasting")+('Usage Detail'!$B$5:$B$204="Promotional")),ROW(A150))),"")</f>
        <v/>
      </c>
      <c r="D158" s="3">
        <f>IFERROR(INDEX('Usage Detail'!$D:$D,AGGREGATE(15,6,ROW('Usage Detail'!$A$5:$A$204)/(('Usage Detail'!$B$5:$B$204="Tasting")+('Usage Detail'!$B$5:$B$204="Promotional")),ROW(A150))),"")</f>
        <v/>
      </c>
      <c r="E158" s="4">
        <f>IFERROR(INDEX('Usage Detail'!$E:$E,AGGREGATE(15,6,ROW('Usage Detail'!$A$5:$A$204)/(('Usage Detail'!$B$5:$B$204="Tasting")+('Usage Detail'!$B$5:$B$204="Promotional")),ROW(A150))),"")</f>
        <v/>
      </c>
      <c r="F158" s="4">
        <f>IFERROR(INDEX('Usage Detail'!$F:$F,AGGREGATE(15,6,ROW('Usage Detail'!$A$5:$A$204)/(('Usage Detail'!$B$5:$B$204="Tasting")+('Usage Detail'!$B$5:$B$204="Promotional")),ROW(A150))),"")</f>
        <v/>
      </c>
      <c r="G158" s="4">
        <f>IFERROR(INDEX('Usage Detail'!$G:$G,AGGREGATE(15,6,ROW('Usage Detail'!$A$5:$A$204)/(('Usage Detail'!$B$5:$B$204="Tasting")+('Usage Detail'!$B$5:$B$204="Promotional")),ROW(A150))),"")</f>
        <v/>
      </c>
      <c r="H158" s="4">
        <f>IFERROR(INDEX('Usage Detail'!$H:$H,AGGREGATE(15,6,ROW('Usage Detail'!$A$5:$A$204)/(('Usage Detail'!$B$5:$B$204="Tasting")+('Usage Detail'!$B$5:$B$204="Promotional")),ROW(A150))),"")</f>
        <v/>
      </c>
    </row>
    <row r="159">
      <c r="A159" s="3">
        <f>IFERROR(INDEX('Usage Detail'!$A:$A,AGGREGATE(15,6,ROW('Usage Detail'!$A$5:$A$204)/(('Usage Detail'!$B$5:$B$204="Tasting")+('Usage Detail'!$B$5:$B$204="Promotional")),ROW(A151))),"")</f>
        <v/>
      </c>
      <c r="B159" s="3">
        <f>IFERROR(INDEX('Usage Detail'!$B:$B,AGGREGATE(15,6,ROW('Usage Detail'!$A$5:$A$204)/(('Usage Detail'!$B$5:$B$204="Tasting")+('Usage Detail'!$B$5:$B$204="Promotional")),ROW(A151))),"")</f>
        <v/>
      </c>
      <c r="C159" s="3">
        <f>IFERROR(INDEX('Usage Detail'!$C:$C,AGGREGATE(15,6,ROW('Usage Detail'!$A$5:$A$204)/(('Usage Detail'!$B$5:$B$204="Tasting")+('Usage Detail'!$B$5:$B$204="Promotional")),ROW(A151))),"")</f>
        <v/>
      </c>
      <c r="D159" s="3">
        <f>IFERROR(INDEX('Usage Detail'!$D:$D,AGGREGATE(15,6,ROW('Usage Detail'!$A$5:$A$204)/(('Usage Detail'!$B$5:$B$204="Tasting")+('Usage Detail'!$B$5:$B$204="Promotional")),ROW(A151))),"")</f>
        <v/>
      </c>
      <c r="E159" s="4">
        <f>IFERROR(INDEX('Usage Detail'!$E:$E,AGGREGATE(15,6,ROW('Usage Detail'!$A$5:$A$204)/(('Usage Detail'!$B$5:$B$204="Tasting")+('Usage Detail'!$B$5:$B$204="Promotional")),ROW(A151))),"")</f>
        <v/>
      </c>
      <c r="F159" s="4">
        <f>IFERROR(INDEX('Usage Detail'!$F:$F,AGGREGATE(15,6,ROW('Usage Detail'!$A$5:$A$204)/(('Usage Detail'!$B$5:$B$204="Tasting")+('Usage Detail'!$B$5:$B$204="Promotional")),ROW(A151))),"")</f>
        <v/>
      </c>
      <c r="G159" s="4">
        <f>IFERROR(INDEX('Usage Detail'!$G:$G,AGGREGATE(15,6,ROW('Usage Detail'!$A$5:$A$204)/(('Usage Detail'!$B$5:$B$204="Tasting")+('Usage Detail'!$B$5:$B$204="Promotional")),ROW(A151))),"")</f>
        <v/>
      </c>
      <c r="H159" s="4">
        <f>IFERROR(INDEX('Usage Detail'!$H:$H,AGGREGATE(15,6,ROW('Usage Detail'!$A$5:$A$204)/(('Usage Detail'!$B$5:$B$204="Tasting")+('Usage Detail'!$B$5:$B$204="Promotional")),ROW(A151))),"")</f>
        <v/>
      </c>
    </row>
    <row r="160">
      <c r="A160" s="3">
        <f>IFERROR(INDEX('Usage Detail'!$A:$A,AGGREGATE(15,6,ROW('Usage Detail'!$A$5:$A$204)/(('Usage Detail'!$B$5:$B$204="Tasting")+('Usage Detail'!$B$5:$B$204="Promotional")),ROW(A152))),"")</f>
        <v/>
      </c>
      <c r="B160" s="3">
        <f>IFERROR(INDEX('Usage Detail'!$B:$B,AGGREGATE(15,6,ROW('Usage Detail'!$A$5:$A$204)/(('Usage Detail'!$B$5:$B$204="Tasting")+('Usage Detail'!$B$5:$B$204="Promotional")),ROW(A152))),"")</f>
        <v/>
      </c>
      <c r="C160" s="3">
        <f>IFERROR(INDEX('Usage Detail'!$C:$C,AGGREGATE(15,6,ROW('Usage Detail'!$A$5:$A$204)/(('Usage Detail'!$B$5:$B$204="Tasting")+('Usage Detail'!$B$5:$B$204="Promotional")),ROW(A152))),"")</f>
        <v/>
      </c>
      <c r="D160" s="3">
        <f>IFERROR(INDEX('Usage Detail'!$D:$D,AGGREGATE(15,6,ROW('Usage Detail'!$A$5:$A$204)/(('Usage Detail'!$B$5:$B$204="Tasting")+('Usage Detail'!$B$5:$B$204="Promotional")),ROW(A152))),"")</f>
        <v/>
      </c>
      <c r="E160" s="4">
        <f>IFERROR(INDEX('Usage Detail'!$E:$E,AGGREGATE(15,6,ROW('Usage Detail'!$A$5:$A$204)/(('Usage Detail'!$B$5:$B$204="Tasting")+('Usage Detail'!$B$5:$B$204="Promotional")),ROW(A152))),"")</f>
        <v/>
      </c>
      <c r="F160" s="4">
        <f>IFERROR(INDEX('Usage Detail'!$F:$F,AGGREGATE(15,6,ROW('Usage Detail'!$A$5:$A$204)/(('Usage Detail'!$B$5:$B$204="Tasting")+('Usage Detail'!$B$5:$B$204="Promotional")),ROW(A152))),"")</f>
        <v/>
      </c>
      <c r="G160" s="4">
        <f>IFERROR(INDEX('Usage Detail'!$G:$G,AGGREGATE(15,6,ROW('Usage Detail'!$A$5:$A$204)/(('Usage Detail'!$B$5:$B$204="Tasting")+('Usage Detail'!$B$5:$B$204="Promotional")),ROW(A152))),"")</f>
        <v/>
      </c>
      <c r="H160" s="4">
        <f>IFERROR(INDEX('Usage Detail'!$H:$H,AGGREGATE(15,6,ROW('Usage Detail'!$A$5:$A$204)/(('Usage Detail'!$B$5:$B$204="Tasting")+('Usage Detail'!$B$5:$B$204="Promotional")),ROW(A152))),"")</f>
        <v/>
      </c>
    </row>
    <row r="161">
      <c r="A161" s="3">
        <f>IFERROR(INDEX('Usage Detail'!$A:$A,AGGREGATE(15,6,ROW('Usage Detail'!$A$5:$A$204)/(('Usage Detail'!$B$5:$B$204="Tasting")+('Usage Detail'!$B$5:$B$204="Promotional")),ROW(A153))),"")</f>
        <v/>
      </c>
      <c r="B161" s="3">
        <f>IFERROR(INDEX('Usage Detail'!$B:$B,AGGREGATE(15,6,ROW('Usage Detail'!$A$5:$A$204)/(('Usage Detail'!$B$5:$B$204="Tasting")+('Usage Detail'!$B$5:$B$204="Promotional")),ROW(A153))),"")</f>
        <v/>
      </c>
      <c r="C161" s="3">
        <f>IFERROR(INDEX('Usage Detail'!$C:$C,AGGREGATE(15,6,ROW('Usage Detail'!$A$5:$A$204)/(('Usage Detail'!$B$5:$B$204="Tasting")+('Usage Detail'!$B$5:$B$204="Promotional")),ROW(A153))),"")</f>
        <v/>
      </c>
      <c r="D161" s="3">
        <f>IFERROR(INDEX('Usage Detail'!$D:$D,AGGREGATE(15,6,ROW('Usage Detail'!$A$5:$A$204)/(('Usage Detail'!$B$5:$B$204="Tasting")+('Usage Detail'!$B$5:$B$204="Promotional")),ROW(A153))),"")</f>
        <v/>
      </c>
      <c r="E161" s="4">
        <f>IFERROR(INDEX('Usage Detail'!$E:$E,AGGREGATE(15,6,ROW('Usage Detail'!$A$5:$A$204)/(('Usage Detail'!$B$5:$B$204="Tasting")+('Usage Detail'!$B$5:$B$204="Promotional")),ROW(A153))),"")</f>
        <v/>
      </c>
      <c r="F161" s="4">
        <f>IFERROR(INDEX('Usage Detail'!$F:$F,AGGREGATE(15,6,ROW('Usage Detail'!$A$5:$A$204)/(('Usage Detail'!$B$5:$B$204="Tasting")+('Usage Detail'!$B$5:$B$204="Promotional")),ROW(A153))),"")</f>
        <v/>
      </c>
      <c r="G161" s="4">
        <f>IFERROR(INDEX('Usage Detail'!$G:$G,AGGREGATE(15,6,ROW('Usage Detail'!$A$5:$A$204)/(('Usage Detail'!$B$5:$B$204="Tasting")+('Usage Detail'!$B$5:$B$204="Promotional")),ROW(A153))),"")</f>
        <v/>
      </c>
      <c r="H161" s="4">
        <f>IFERROR(INDEX('Usage Detail'!$H:$H,AGGREGATE(15,6,ROW('Usage Detail'!$A$5:$A$204)/(('Usage Detail'!$B$5:$B$204="Tasting")+('Usage Detail'!$B$5:$B$204="Promotional")),ROW(A153))),"")</f>
        <v/>
      </c>
    </row>
    <row r="162">
      <c r="A162" s="3">
        <f>IFERROR(INDEX('Usage Detail'!$A:$A,AGGREGATE(15,6,ROW('Usage Detail'!$A$5:$A$204)/(('Usage Detail'!$B$5:$B$204="Tasting")+('Usage Detail'!$B$5:$B$204="Promotional")),ROW(A154))),"")</f>
        <v/>
      </c>
      <c r="B162" s="3">
        <f>IFERROR(INDEX('Usage Detail'!$B:$B,AGGREGATE(15,6,ROW('Usage Detail'!$A$5:$A$204)/(('Usage Detail'!$B$5:$B$204="Tasting")+('Usage Detail'!$B$5:$B$204="Promotional")),ROW(A154))),"")</f>
        <v/>
      </c>
      <c r="C162" s="3">
        <f>IFERROR(INDEX('Usage Detail'!$C:$C,AGGREGATE(15,6,ROW('Usage Detail'!$A$5:$A$204)/(('Usage Detail'!$B$5:$B$204="Tasting")+('Usage Detail'!$B$5:$B$204="Promotional")),ROW(A154))),"")</f>
        <v/>
      </c>
      <c r="D162" s="3">
        <f>IFERROR(INDEX('Usage Detail'!$D:$D,AGGREGATE(15,6,ROW('Usage Detail'!$A$5:$A$204)/(('Usage Detail'!$B$5:$B$204="Tasting")+('Usage Detail'!$B$5:$B$204="Promotional")),ROW(A154))),"")</f>
        <v/>
      </c>
      <c r="E162" s="4">
        <f>IFERROR(INDEX('Usage Detail'!$E:$E,AGGREGATE(15,6,ROW('Usage Detail'!$A$5:$A$204)/(('Usage Detail'!$B$5:$B$204="Tasting")+('Usage Detail'!$B$5:$B$204="Promotional")),ROW(A154))),"")</f>
        <v/>
      </c>
      <c r="F162" s="4">
        <f>IFERROR(INDEX('Usage Detail'!$F:$F,AGGREGATE(15,6,ROW('Usage Detail'!$A$5:$A$204)/(('Usage Detail'!$B$5:$B$204="Tasting")+('Usage Detail'!$B$5:$B$204="Promotional")),ROW(A154))),"")</f>
        <v/>
      </c>
      <c r="G162" s="4">
        <f>IFERROR(INDEX('Usage Detail'!$G:$G,AGGREGATE(15,6,ROW('Usage Detail'!$A$5:$A$204)/(('Usage Detail'!$B$5:$B$204="Tasting")+('Usage Detail'!$B$5:$B$204="Promotional")),ROW(A154))),"")</f>
        <v/>
      </c>
      <c r="H162" s="4">
        <f>IFERROR(INDEX('Usage Detail'!$H:$H,AGGREGATE(15,6,ROW('Usage Detail'!$A$5:$A$204)/(('Usage Detail'!$B$5:$B$204="Tasting")+('Usage Detail'!$B$5:$B$204="Promotional")),ROW(A154))),"")</f>
        <v/>
      </c>
    </row>
    <row r="163">
      <c r="A163" s="3">
        <f>IFERROR(INDEX('Usage Detail'!$A:$A,AGGREGATE(15,6,ROW('Usage Detail'!$A$5:$A$204)/(('Usage Detail'!$B$5:$B$204="Tasting")+('Usage Detail'!$B$5:$B$204="Promotional")),ROW(A155))),"")</f>
        <v/>
      </c>
      <c r="B163" s="3">
        <f>IFERROR(INDEX('Usage Detail'!$B:$B,AGGREGATE(15,6,ROW('Usage Detail'!$A$5:$A$204)/(('Usage Detail'!$B$5:$B$204="Tasting")+('Usage Detail'!$B$5:$B$204="Promotional")),ROW(A155))),"")</f>
        <v/>
      </c>
      <c r="C163" s="3">
        <f>IFERROR(INDEX('Usage Detail'!$C:$C,AGGREGATE(15,6,ROW('Usage Detail'!$A$5:$A$204)/(('Usage Detail'!$B$5:$B$204="Tasting")+('Usage Detail'!$B$5:$B$204="Promotional")),ROW(A155))),"")</f>
        <v/>
      </c>
      <c r="D163" s="3">
        <f>IFERROR(INDEX('Usage Detail'!$D:$D,AGGREGATE(15,6,ROW('Usage Detail'!$A$5:$A$204)/(('Usage Detail'!$B$5:$B$204="Tasting")+('Usage Detail'!$B$5:$B$204="Promotional")),ROW(A155))),"")</f>
        <v/>
      </c>
      <c r="E163" s="4">
        <f>IFERROR(INDEX('Usage Detail'!$E:$E,AGGREGATE(15,6,ROW('Usage Detail'!$A$5:$A$204)/(('Usage Detail'!$B$5:$B$204="Tasting")+('Usage Detail'!$B$5:$B$204="Promotional")),ROW(A155))),"")</f>
        <v/>
      </c>
      <c r="F163" s="4">
        <f>IFERROR(INDEX('Usage Detail'!$F:$F,AGGREGATE(15,6,ROW('Usage Detail'!$A$5:$A$204)/(('Usage Detail'!$B$5:$B$204="Tasting")+('Usage Detail'!$B$5:$B$204="Promotional")),ROW(A155))),"")</f>
        <v/>
      </c>
      <c r="G163" s="4">
        <f>IFERROR(INDEX('Usage Detail'!$G:$G,AGGREGATE(15,6,ROW('Usage Detail'!$A$5:$A$204)/(('Usage Detail'!$B$5:$B$204="Tasting")+('Usage Detail'!$B$5:$B$204="Promotional")),ROW(A155))),"")</f>
        <v/>
      </c>
      <c r="H163" s="4">
        <f>IFERROR(INDEX('Usage Detail'!$H:$H,AGGREGATE(15,6,ROW('Usage Detail'!$A$5:$A$204)/(('Usage Detail'!$B$5:$B$204="Tasting")+('Usage Detail'!$B$5:$B$204="Promotional")),ROW(A155))),"")</f>
        <v/>
      </c>
    </row>
    <row r="164">
      <c r="A164" s="3">
        <f>IFERROR(INDEX('Usage Detail'!$A:$A,AGGREGATE(15,6,ROW('Usage Detail'!$A$5:$A$204)/(('Usage Detail'!$B$5:$B$204="Tasting")+('Usage Detail'!$B$5:$B$204="Promotional")),ROW(A156))),"")</f>
        <v/>
      </c>
      <c r="B164" s="3">
        <f>IFERROR(INDEX('Usage Detail'!$B:$B,AGGREGATE(15,6,ROW('Usage Detail'!$A$5:$A$204)/(('Usage Detail'!$B$5:$B$204="Tasting")+('Usage Detail'!$B$5:$B$204="Promotional")),ROW(A156))),"")</f>
        <v/>
      </c>
      <c r="C164" s="3">
        <f>IFERROR(INDEX('Usage Detail'!$C:$C,AGGREGATE(15,6,ROW('Usage Detail'!$A$5:$A$204)/(('Usage Detail'!$B$5:$B$204="Tasting")+('Usage Detail'!$B$5:$B$204="Promotional")),ROW(A156))),"")</f>
        <v/>
      </c>
      <c r="D164" s="3">
        <f>IFERROR(INDEX('Usage Detail'!$D:$D,AGGREGATE(15,6,ROW('Usage Detail'!$A$5:$A$204)/(('Usage Detail'!$B$5:$B$204="Tasting")+('Usage Detail'!$B$5:$B$204="Promotional")),ROW(A156))),"")</f>
        <v/>
      </c>
      <c r="E164" s="4">
        <f>IFERROR(INDEX('Usage Detail'!$E:$E,AGGREGATE(15,6,ROW('Usage Detail'!$A$5:$A$204)/(('Usage Detail'!$B$5:$B$204="Tasting")+('Usage Detail'!$B$5:$B$204="Promotional")),ROW(A156))),"")</f>
        <v/>
      </c>
      <c r="F164" s="4">
        <f>IFERROR(INDEX('Usage Detail'!$F:$F,AGGREGATE(15,6,ROW('Usage Detail'!$A$5:$A$204)/(('Usage Detail'!$B$5:$B$204="Tasting")+('Usage Detail'!$B$5:$B$204="Promotional")),ROW(A156))),"")</f>
        <v/>
      </c>
      <c r="G164" s="4">
        <f>IFERROR(INDEX('Usage Detail'!$G:$G,AGGREGATE(15,6,ROW('Usage Detail'!$A$5:$A$204)/(('Usage Detail'!$B$5:$B$204="Tasting")+('Usage Detail'!$B$5:$B$204="Promotional")),ROW(A156))),"")</f>
        <v/>
      </c>
      <c r="H164" s="4">
        <f>IFERROR(INDEX('Usage Detail'!$H:$H,AGGREGATE(15,6,ROW('Usage Detail'!$A$5:$A$204)/(('Usage Detail'!$B$5:$B$204="Tasting")+('Usage Detail'!$B$5:$B$204="Promotional")),ROW(A156))),"")</f>
        <v/>
      </c>
    </row>
    <row r="165">
      <c r="A165" s="3">
        <f>IFERROR(INDEX('Usage Detail'!$A:$A,AGGREGATE(15,6,ROW('Usage Detail'!$A$5:$A$204)/(('Usage Detail'!$B$5:$B$204="Tasting")+('Usage Detail'!$B$5:$B$204="Promotional")),ROW(A157))),"")</f>
        <v/>
      </c>
      <c r="B165" s="3">
        <f>IFERROR(INDEX('Usage Detail'!$B:$B,AGGREGATE(15,6,ROW('Usage Detail'!$A$5:$A$204)/(('Usage Detail'!$B$5:$B$204="Tasting")+('Usage Detail'!$B$5:$B$204="Promotional")),ROW(A157))),"")</f>
        <v/>
      </c>
      <c r="C165" s="3">
        <f>IFERROR(INDEX('Usage Detail'!$C:$C,AGGREGATE(15,6,ROW('Usage Detail'!$A$5:$A$204)/(('Usage Detail'!$B$5:$B$204="Tasting")+('Usage Detail'!$B$5:$B$204="Promotional")),ROW(A157))),"")</f>
        <v/>
      </c>
      <c r="D165" s="3">
        <f>IFERROR(INDEX('Usage Detail'!$D:$D,AGGREGATE(15,6,ROW('Usage Detail'!$A$5:$A$204)/(('Usage Detail'!$B$5:$B$204="Tasting")+('Usage Detail'!$B$5:$B$204="Promotional")),ROW(A157))),"")</f>
        <v/>
      </c>
      <c r="E165" s="4">
        <f>IFERROR(INDEX('Usage Detail'!$E:$E,AGGREGATE(15,6,ROW('Usage Detail'!$A$5:$A$204)/(('Usage Detail'!$B$5:$B$204="Tasting")+('Usage Detail'!$B$5:$B$204="Promotional")),ROW(A157))),"")</f>
        <v/>
      </c>
      <c r="F165" s="4">
        <f>IFERROR(INDEX('Usage Detail'!$F:$F,AGGREGATE(15,6,ROW('Usage Detail'!$A$5:$A$204)/(('Usage Detail'!$B$5:$B$204="Tasting")+('Usage Detail'!$B$5:$B$204="Promotional")),ROW(A157))),"")</f>
        <v/>
      </c>
      <c r="G165" s="4">
        <f>IFERROR(INDEX('Usage Detail'!$G:$G,AGGREGATE(15,6,ROW('Usage Detail'!$A$5:$A$204)/(('Usage Detail'!$B$5:$B$204="Tasting")+('Usage Detail'!$B$5:$B$204="Promotional")),ROW(A157))),"")</f>
        <v/>
      </c>
      <c r="H165" s="4">
        <f>IFERROR(INDEX('Usage Detail'!$H:$H,AGGREGATE(15,6,ROW('Usage Detail'!$A$5:$A$204)/(('Usage Detail'!$B$5:$B$204="Tasting")+('Usage Detail'!$B$5:$B$204="Promotional")),ROW(A157))),"")</f>
        <v/>
      </c>
    </row>
    <row r="166">
      <c r="A166" s="3">
        <f>IFERROR(INDEX('Usage Detail'!$A:$A,AGGREGATE(15,6,ROW('Usage Detail'!$A$5:$A$204)/(('Usage Detail'!$B$5:$B$204="Tasting")+('Usage Detail'!$B$5:$B$204="Promotional")),ROW(A158))),"")</f>
        <v/>
      </c>
      <c r="B166" s="3">
        <f>IFERROR(INDEX('Usage Detail'!$B:$B,AGGREGATE(15,6,ROW('Usage Detail'!$A$5:$A$204)/(('Usage Detail'!$B$5:$B$204="Tasting")+('Usage Detail'!$B$5:$B$204="Promotional")),ROW(A158))),"")</f>
        <v/>
      </c>
      <c r="C166" s="3">
        <f>IFERROR(INDEX('Usage Detail'!$C:$C,AGGREGATE(15,6,ROW('Usage Detail'!$A$5:$A$204)/(('Usage Detail'!$B$5:$B$204="Tasting")+('Usage Detail'!$B$5:$B$204="Promotional")),ROW(A158))),"")</f>
        <v/>
      </c>
      <c r="D166" s="3">
        <f>IFERROR(INDEX('Usage Detail'!$D:$D,AGGREGATE(15,6,ROW('Usage Detail'!$A$5:$A$204)/(('Usage Detail'!$B$5:$B$204="Tasting")+('Usage Detail'!$B$5:$B$204="Promotional")),ROW(A158))),"")</f>
        <v/>
      </c>
      <c r="E166" s="4">
        <f>IFERROR(INDEX('Usage Detail'!$E:$E,AGGREGATE(15,6,ROW('Usage Detail'!$A$5:$A$204)/(('Usage Detail'!$B$5:$B$204="Tasting")+('Usage Detail'!$B$5:$B$204="Promotional")),ROW(A158))),"")</f>
        <v/>
      </c>
      <c r="F166" s="4">
        <f>IFERROR(INDEX('Usage Detail'!$F:$F,AGGREGATE(15,6,ROW('Usage Detail'!$A$5:$A$204)/(('Usage Detail'!$B$5:$B$204="Tasting")+('Usage Detail'!$B$5:$B$204="Promotional")),ROW(A158))),"")</f>
        <v/>
      </c>
      <c r="G166" s="4">
        <f>IFERROR(INDEX('Usage Detail'!$G:$G,AGGREGATE(15,6,ROW('Usage Detail'!$A$5:$A$204)/(('Usage Detail'!$B$5:$B$204="Tasting")+('Usage Detail'!$B$5:$B$204="Promotional")),ROW(A158))),"")</f>
        <v/>
      </c>
      <c r="H166" s="4">
        <f>IFERROR(INDEX('Usage Detail'!$H:$H,AGGREGATE(15,6,ROW('Usage Detail'!$A$5:$A$204)/(('Usage Detail'!$B$5:$B$204="Tasting")+('Usage Detail'!$B$5:$B$204="Promotional")),ROW(A158))),"")</f>
        <v/>
      </c>
    </row>
    <row r="167">
      <c r="A167" s="3">
        <f>IFERROR(INDEX('Usage Detail'!$A:$A,AGGREGATE(15,6,ROW('Usage Detail'!$A$5:$A$204)/(('Usage Detail'!$B$5:$B$204="Tasting")+('Usage Detail'!$B$5:$B$204="Promotional")),ROW(A159))),"")</f>
        <v/>
      </c>
      <c r="B167" s="3">
        <f>IFERROR(INDEX('Usage Detail'!$B:$B,AGGREGATE(15,6,ROW('Usage Detail'!$A$5:$A$204)/(('Usage Detail'!$B$5:$B$204="Tasting")+('Usage Detail'!$B$5:$B$204="Promotional")),ROW(A159))),"")</f>
        <v/>
      </c>
      <c r="C167" s="3">
        <f>IFERROR(INDEX('Usage Detail'!$C:$C,AGGREGATE(15,6,ROW('Usage Detail'!$A$5:$A$204)/(('Usage Detail'!$B$5:$B$204="Tasting")+('Usage Detail'!$B$5:$B$204="Promotional")),ROW(A159))),"")</f>
        <v/>
      </c>
      <c r="D167" s="3">
        <f>IFERROR(INDEX('Usage Detail'!$D:$D,AGGREGATE(15,6,ROW('Usage Detail'!$A$5:$A$204)/(('Usage Detail'!$B$5:$B$204="Tasting")+('Usage Detail'!$B$5:$B$204="Promotional")),ROW(A159))),"")</f>
        <v/>
      </c>
      <c r="E167" s="4">
        <f>IFERROR(INDEX('Usage Detail'!$E:$E,AGGREGATE(15,6,ROW('Usage Detail'!$A$5:$A$204)/(('Usage Detail'!$B$5:$B$204="Tasting")+('Usage Detail'!$B$5:$B$204="Promotional")),ROW(A159))),"")</f>
        <v/>
      </c>
      <c r="F167" s="4">
        <f>IFERROR(INDEX('Usage Detail'!$F:$F,AGGREGATE(15,6,ROW('Usage Detail'!$A$5:$A$204)/(('Usage Detail'!$B$5:$B$204="Tasting")+('Usage Detail'!$B$5:$B$204="Promotional")),ROW(A159))),"")</f>
        <v/>
      </c>
      <c r="G167" s="4">
        <f>IFERROR(INDEX('Usage Detail'!$G:$G,AGGREGATE(15,6,ROW('Usage Detail'!$A$5:$A$204)/(('Usage Detail'!$B$5:$B$204="Tasting")+('Usage Detail'!$B$5:$B$204="Promotional")),ROW(A159))),"")</f>
        <v/>
      </c>
      <c r="H167" s="4">
        <f>IFERROR(INDEX('Usage Detail'!$H:$H,AGGREGATE(15,6,ROW('Usage Detail'!$A$5:$A$204)/(('Usage Detail'!$B$5:$B$204="Tasting")+('Usage Detail'!$B$5:$B$204="Promotional")),ROW(A159))),"")</f>
        <v/>
      </c>
    </row>
    <row r="168">
      <c r="A168" s="3">
        <f>IFERROR(INDEX('Usage Detail'!$A:$A,AGGREGATE(15,6,ROW('Usage Detail'!$A$5:$A$204)/(('Usage Detail'!$B$5:$B$204="Tasting")+('Usage Detail'!$B$5:$B$204="Promotional")),ROW(A160))),"")</f>
        <v/>
      </c>
      <c r="B168" s="3">
        <f>IFERROR(INDEX('Usage Detail'!$B:$B,AGGREGATE(15,6,ROW('Usage Detail'!$A$5:$A$204)/(('Usage Detail'!$B$5:$B$204="Tasting")+('Usage Detail'!$B$5:$B$204="Promotional")),ROW(A160))),"")</f>
        <v/>
      </c>
      <c r="C168" s="3">
        <f>IFERROR(INDEX('Usage Detail'!$C:$C,AGGREGATE(15,6,ROW('Usage Detail'!$A$5:$A$204)/(('Usage Detail'!$B$5:$B$204="Tasting")+('Usage Detail'!$B$5:$B$204="Promotional")),ROW(A160))),"")</f>
        <v/>
      </c>
      <c r="D168" s="3">
        <f>IFERROR(INDEX('Usage Detail'!$D:$D,AGGREGATE(15,6,ROW('Usage Detail'!$A$5:$A$204)/(('Usage Detail'!$B$5:$B$204="Tasting")+('Usage Detail'!$B$5:$B$204="Promotional")),ROW(A160))),"")</f>
        <v/>
      </c>
      <c r="E168" s="4">
        <f>IFERROR(INDEX('Usage Detail'!$E:$E,AGGREGATE(15,6,ROW('Usage Detail'!$A$5:$A$204)/(('Usage Detail'!$B$5:$B$204="Tasting")+('Usage Detail'!$B$5:$B$204="Promotional")),ROW(A160))),"")</f>
        <v/>
      </c>
      <c r="F168" s="4">
        <f>IFERROR(INDEX('Usage Detail'!$F:$F,AGGREGATE(15,6,ROW('Usage Detail'!$A$5:$A$204)/(('Usage Detail'!$B$5:$B$204="Tasting")+('Usage Detail'!$B$5:$B$204="Promotional")),ROW(A160))),"")</f>
        <v/>
      </c>
      <c r="G168" s="4">
        <f>IFERROR(INDEX('Usage Detail'!$G:$G,AGGREGATE(15,6,ROW('Usage Detail'!$A$5:$A$204)/(('Usage Detail'!$B$5:$B$204="Tasting")+('Usage Detail'!$B$5:$B$204="Promotional")),ROW(A160))),"")</f>
        <v/>
      </c>
      <c r="H168" s="4">
        <f>IFERROR(INDEX('Usage Detail'!$H:$H,AGGREGATE(15,6,ROW('Usage Detail'!$A$5:$A$204)/(('Usage Detail'!$B$5:$B$204="Tasting")+('Usage Detail'!$B$5:$B$204="Promotional")),ROW(A160))),"")</f>
        <v/>
      </c>
    </row>
    <row r="169">
      <c r="A169" s="3">
        <f>IFERROR(INDEX('Usage Detail'!$A:$A,AGGREGATE(15,6,ROW('Usage Detail'!$A$5:$A$204)/(('Usage Detail'!$B$5:$B$204="Tasting")+('Usage Detail'!$B$5:$B$204="Promotional")),ROW(A161))),"")</f>
        <v/>
      </c>
      <c r="B169" s="3">
        <f>IFERROR(INDEX('Usage Detail'!$B:$B,AGGREGATE(15,6,ROW('Usage Detail'!$A$5:$A$204)/(('Usage Detail'!$B$5:$B$204="Tasting")+('Usage Detail'!$B$5:$B$204="Promotional")),ROW(A161))),"")</f>
        <v/>
      </c>
      <c r="C169" s="3">
        <f>IFERROR(INDEX('Usage Detail'!$C:$C,AGGREGATE(15,6,ROW('Usage Detail'!$A$5:$A$204)/(('Usage Detail'!$B$5:$B$204="Tasting")+('Usage Detail'!$B$5:$B$204="Promotional")),ROW(A161))),"")</f>
        <v/>
      </c>
      <c r="D169" s="3">
        <f>IFERROR(INDEX('Usage Detail'!$D:$D,AGGREGATE(15,6,ROW('Usage Detail'!$A$5:$A$204)/(('Usage Detail'!$B$5:$B$204="Tasting")+('Usage Detail'!$B$5:$B$204="Promotional")),ROW(A161))),"")</f>
        <v/>
      </c>
      <c r="E169" s="4">
        <f>IFERROR(INDEX('Usage Detail'!$E:$E,AGGREGATE(15,6,ROW('Usage Detail'!$A$5:$A$204)/(('Usage Detail'!$B$5:$B$204="Tasting")+('Usage Detail'!$B$5:$B$204="Promotional")),ROW(A161))),"")</f>
        <v/>
      </c>
      <c r="F169" s="4">
        <f>IFERROR(INDEX('Usage Detail'!$F:$F,AGGREGATE(15,6,ROW('Usage Detail'!$A$5:$A$204)/(('Usage Detail'!$B$5:$B$204="Tasting")+('Usage Detail'!$B$5:$B$204="Promotional")),ROW(A161))),"")</f>
        <v/>
      </c>
      <c r="G169" s="4">
        <f>IFERROR(INDEX('Usage Detail'!$G:$G,AGGREGATE(15,6,ROW('Usage Detail'!$A$5:$A$204)/(('Usage Detail'!$B$5:$B$204="Tasting")+('Usage Detail'!$B$5:$B$204="Promotional")),ROW(A161))),"")</f>
        <v/>
      </c>
      <c r="H169" s="4">
        <f>IFERROR(INDEX('Usage Detail'!$H:$H,AGGREGATE(15,6,ROW('Usage Detail'!$A$5:$A$204)/(('Usage Detail'!$B$5:$B$204="Tasting")+('Usage Detail'!$B$5:$B$204="Promotional")),ROW(A161))),"")</f>
        <v/>
      </c>
    </row>
    <row r="170">
      <c r="A170" s="3">
        <f>IFERROR(INDEX('Usage Detail'!$A:$A,AGGREGATE(15,6,ROW('Usage Detail'!$A$5:$A$204)/(('Usage Detail'!$B$5:$B$204="Tasting")+('Usage Detail'!$B$5:$B$204="Promotional")),ROW(A162))),"")</f>
        <v/>
      </c>
      <c r="B170" s="3">
        <f>IFERROR(INDEX('Usage Detail'!$B:$B,AGGREGATE(15,6,ROW('Usage Detail'!$A$5:$A$204)/(('Usage Detail'!$B$5:$B$204="Tasting")+('Usage Detail'!$B$5:$B$204="Promotional")),ROW(A162))),"")</f>
        <v/>
      </c>
      <c r="C170" s="3">
        <f>IFERROR(INDEX('Usage Detail'!$C:$C,AGGREGATE(15,6,ROW('Usage Detail'!$A$5:$A$204)/(('Usage Detail'!$B$5:$B$204="Tasting")+('Usage Detail'!$B$5:$B$204="Promotional")),ROW(A162))),"")</f>
        <v/>
      </c>
      <c r="D170" s="3">
        <f>IFERROR(INDEX('Usage Detail'!$D:$D,AGGREGATE(15,6,ROW('Usage Detail'!$A$5:$A$204)/(('Usage Detail'!$B$5:$B$204="Tasting")+('Usage Detail'!$B$5:$B$204="Promotional")),ROW(A162))),"")</f>
        <v/>
      </c>
      <c r="E170" s="4">
        <f>IFERROR(INDEX('Usage Detail'!$E:$E,AGGREGATE(15,6,ROW('Usage Detail'!$A$5:$A$204)/(('Usage Detail'!$B$5:$B$204="Tasting")+('Usage Detail'!$B$5:$B$204="Promotional")),ROW(A162))),"")</f>
        <v/>
      </c>
      <c r="F170" s="4">
        <f>IFERROR(INDEX('Usage Detail'!$F:$F,AGGREGATE(15,6,ROW('Usage Detail'!$A$5:$A$204)/(('Usage Detail'!$B$5:$B$204="Tasting")+('Usage Detail'!$B$5:$B$204="Promotional")),ROW(A162))),"")</f>
        <v/>
      </c>
      <c r="G170" s="4">
        <f>IFERROR(INDEX('Usage Detail'!$G:$G,AGGREGATE(15,6,ROW('Usage Detail'!$A$5:$A$204)/(('Usage Detail'!$B$5:$B$204="Tasting")+('Usage Detail'!$B$5:$B$204="Promotional")),ROW(A162))),"")</f>
        <v/>
      </c>
      <c r="H170" s="4">
        <f>IFERROR(INDEX('Usage Detail'!$H:$H,AGGREGATE(15,6,ROW('Usage Detail'!$A$5:$A$204)/(('Usage Detail'!$B$5:$B$204="Tasting")+('Usage Detail'!$B$5:$B$204="Promotional")),ROW(A162))),"")</f>
        <v/>
      </c>
    </row>
    <row r="171">
      <c r="A171" s="3">
        <f>IFERROR(INDEX('Usage Detail'!$A:$A,AGGREGATE(15,6,ROW('Usage Detail'!$A$5:$A$204)/(('Usage Detail'!$B$5:$B$204="Tasting")+('Usage Detail'!$B$5:$B$204="Promotional")),ROW(A163))),"")</f>
        <v/>
      </c>
      <c r="B171" s="3">
        <f>IFERROR(INDEX('Usage Detail'!$B:$B,AGGREGATE(15,6,ROW('Usage Detail'!$A$5:$A$204)/(('Usage Detail'!$B$5:$B$204="Tasting")+('Usage Detail'!$B$5:$B$204="Promotional")),ROW(A163))),"")</f>
        <v/>
      </c>
      <c r="C171" s="3">
        <f>IFERROR(INDEX('Usage Detail'!$C:$C,AGGREGATE(15,6,ROW('Usage Detail'!$A$5:$A$204)/(('Usage Detail'!$B$5:$B$204="Tasting")+('Usage Detail'!$B$5:$B$204="Promotional")),ROW(A163))),"")</f>
        <v/>
      </c>
      <c r="D171" s="3">
        <f>IFERROR(INDEX('Usage Detail'!$D:$D,AGGREGATE(15,6,ROW('Usage Detail'!$A$5:$A$204)/(('Usage Detail'!$B$5:$B$204="Tasting")+('Usage Detail'!$B$5:$B$204="Promotional")),ROW(A163))),"")</f>
        <v/>
      </c>
      <c r="E171" s="4">
        <f>IFERROR(INDEX('Usage Detail'!$E:$E,AGGREGATE(15,6,ROW('Usage Detail'!$A$5:$A$204)/(('Usage Detail'!$B$5:$B$204="Tasting")+('Usage Detail'!$B$5:$B$204="Promotional")),ROW(A163))),"")</f>
        <v/>
      </c>
      <c r="F171" s="4">
        <f>IFERROR(INDEX('Usage Detail'!$F:$F,AGGREGATE(15,6,ROW('Usage Detail'!$A$5:$A$204)/(('Usage Detail'!$B$5:$B$204="Tasting")+('Usage Detail'!$B$5:$B$204="Promotional")),ROW(A163))),"")</f>
        <v/>
      </c>
      <c r="G171" s="4">
        <f>IFERROR(INDEX('Usage Detail'!$G:$G,AGGREGATE(15,6,ROW('Usage Detail'!$A$5:$A$204)/(('Usage Detail'!$B$5:$B$204="Tasting")+('Usage Detail'!$B$5:$B$204="Promotional")),ROW(A163))),"")</f>
        <v/>
      </c>
      <c r="H171" s="4">
        <f>IFERROR(INDEX('Usage Detail'!$H:$H,AGGREGATE(15,6,ROW('Usage Detail'!$A$5:$A$204)/(('Usage Detail'!$B$5:$B$204="Tasting")+('Usage Detail'!$B$5:$B$204="Promotional")),ROW(A163))),"")</f>
        <v/>
      </c>
    </row>
    <row r="172">
      <c r="A172" s="3">
        <f>IFERROR(INDEX('Usage Detail'!$A:$A,AGGREGATE(15,6,ROW('Usage Detail'!$A$5:$A$204)/(('Usage Detail'!$B$5:$B$204="Tasting")+('Usage Detail'!$B$5:$B$204="Promotional")),ROW(A164))),"")</f>
        <v/>
      </c>
      <c r="B172" s="3">
        <f>IFERROR(INDEX('Usage Detail'!$B:$B,AGGREGATE(15,6,ROW('Usage Detail'!$A$5:$A$204)/(('Usage Detail'!$B$5:$B$204="Tasting")+('Usage Detail'!$B$5:$B$204="Promotional")),ROW(A164))),"")</f>
        <v/>
      </c>
      <c r="C172" s="3">
        <f>IFERROR(INDEX('Usage Detail'!$C:$C,AGGREGATE(15,6,ROW('Usage Detail'!$A$5:$A$204)/(('Usage Detail'!$B$5:$B$204="Tasting")+('Usage Detail'!$B$5:$B$204="Promotional")),ROW(A164))),"")</f>
        <v/>
      </c>
      <c r="D172" s="3">
        <f>IFERROR(INDEX('Usage Detail'!$D:$D,AGGREGATE(15,6,ROW('Usage Detail'!$A$5:$A$204)/(('Usage Detail'!$B$5:$B$204="Tasting")+('Usage Detail'!$B$5:$B$204="Promotional")),ROW(A164))),"")</f>
        <v/>
      </c>
      <c r="E172" s="4">
        <f>IFERROR(INDEX('Usage Detail'!$E:$E,AGGREGATE(15,6,ROW('Usage Detail'!$A$5:$A$204)/(('Usage Detail'!$B$5:$B$204="Tasting")+('Usage Detail'!$B$5:$B$204="Promotional")),ROW(A164))),"")</f>
        <v/>
      </c>
      <c r="F172" s="4">
        <f>IFERROR(INDEX('Usage Detail'!$F:$F,AGGREGATE(15,6,ROW('Usage Detail'!$A$5:$A$204)/(('Usage Detail'!$B$5:$B$204="Tasting")+('Usage Detail'!$B$5:$B$204="Promotional")),ROW(A164))),"")</f>
        <v/>
      </c>
      <c r="G172" s="4">
        <f>IFERROR(INDEX('Usage Detail'!$G:$G,AGGREGATE(15,6,ROW('Usage Detail'!$A$5:$A$204)/(('Usage Detail'!$B$5:$B$204="Tasting")+('Usage Detail'!$B$5:$B$204="Promotional")),ROW(A164))),"")</f>
        <v/>
      </c>
      <c r="H172" s="4">
        <f>IFERROR(INDEX('Usage Detail'!$H:$H,AGGREGATE(15,6,ROW('Usage Detail'!$A$5:$A$204)/(('Usage Detail'!$B$5:$B$204="Tasting")+('Usage Detail'!$B$5:$B$204="Promotional")),ROW(A164))),"")</f>
        <v/>
      </c>
    </row>
    <row r="173">
      <c r="A173" s="3">
        <f>IFERROR(INDEX('Usage Detail'!$A:$A,AGGREGATE(15,6,ROW('Usage Detail'!$A$5:$A$204)/(('Usage Detail'!$B$5:$B$204="Tasting")+('Usage Detail'!$B$5:$B$204="Promotional")),ROW(A165))),"")</f>
        <v/>
      </c>
      <c r="B173" s="3">
        <f>IFERROR(INDEX('Usage Detail'!$B:$B,AGGREGATE(15,6,ROW('Usage Detail'!$A$5:$A$204)/(('Usage Detail'!$B$5:$B$204="Tasting")+('Usage Detail'!$B$5:$B$204="Promotional")),ROW(A165))),"")</f>
        <v/>
      </c>
      <c r="C173" s="3">
        <f>IFERROR(INDEX('Usage Detail'!$C:$C,AGGREGATE(15,6,ROW('Usage Detail'!$A$5:$A$204)/(('Usage Detail'!$B$5:$B$204="Tasting")+('Usage Detail'!$B$5:$B$204="Promotional")),ROW(A165))),"")</f>
        <v/>
      </c>
      <c r="D173" s="3">
        <f>IFERROR(INDEX('Usage Detail'!$D:$D,AGGREGATE(15,6,ROW('Usage Detail'!$A$5:$A$204)/(('Usage Detail'!$B$5:$B$204="Tasting")+('Usage Detail'!$B$5:$B$204="Promotional")),ROW(A165))),"")</f>
        <v/>
      </c>
      <c r="E173" s="4">
        <f>IFERROR(INDEX('Usage Detail'!$E:$E,AGGREGATE(15,6,ROW('Usage Detail'!$A$5:$A$204)/(('Usage Detail'!$B$5:$B$204="Tasting")+('Usage Detail'!$B$5:$B$204="Promotional")),ROW(A165))),"")</f>
        <v/>
      </c>
      <c r="F173" s="4">
        <f>IFERROR(INDEX('Usage Detail'!$F:$F,AGGREGATE(15,6,ROW('Usage Detail'!$A$5:$A$204)/(('Usage Detail'!$B$5:$B$204="Tasting")+('Usage Detail'!$B$5:$B$204="Promotional")),ROW(A165))),"")</f>
        <v/>
      </c>
      <c r="G173" s="4">
        <f>IFERROR(INDEX('Usage Detail'!$G:$G,AGGREGATE(15,6,ROW('Usage Detail'!$A$5:$A$204)/(('Usage Detail'!$B$5:$B$204="Tasting")+('Usage Detail'!$B$5:$B$204="Promotional")),ROW(A165))),"")</f>
        <v/>
      </c>
      <c r="H173" s="4">
        <f>IFERROR(INDEX('Usage Detail'!$H:$H,AGGREGATE(15,6,ROW('Usage Detail'!$A$5:$A$204)/(('Usage Detail'!$B$5:$B$204="Tasting")+('Usage Detail'!$B$5:$B$204="Promotional")),ROW(A165))),"")</f>
        <v/>
      </c>
    </row>
    <row r="174">
      <c r="A174" s="3">
        <f>IFERROR(INDEX('Usage Detail'!$A:$A,AGGREGATE(15,6,ROW('Usage Detail'!$A$5:$A$204)/(('Usage Detail'!$B$5:$B$204="Tasting")+('Usage Detail'!$B$5:$B$204="Promotional")),ROW(A166))),"")</f>
        <v/>
      </c>
      <c r="B174" s="3">
        <f>IFERROR(INDEX('Usage Detail'!$B:$B,AGGREGATE(15,6,ROW('Usage Detail'!$A$5:$A$204)/(('Usage Detail'!$B$5:$B$204="Tasting")+('Usage Detail'!$B$5:$B$204="Promotional")),ROW(A166))),"")</f>
        <v/>
      </c>
      <c r="C174" s="3">
        <f>IFERROR(INDEX('Usage Detail'!$C:$C,AGGREGATE(15,6,ROW('Usage Detail'!$A$5:$A$204)/(('Usage Detail'!$B$5:$B$204="Tasting")+('Usage Detail'!$B$5:$B$204="Promotional")),ROW(A166))),"")</f>
        <v/>
      </c>
      <c r="D174" s="3">
        <f>IFERROR(INDEX('Usage Detail'!$D:$D,AGGREGATE(15,6,ROW('Usage Detail'!$A$5:$A$204)/(('Usage Detail'!$B$5:$B$204="Tasting")+('Usage Detail'!$B$5:$B$204="Promotional")),ROW(A166))),"")</f>
        <v/>
      </c>
      <c r="E174" s="4">
        <f>IFERROR(INDEX('Usage Detail'!$E:$E,AGGREGATE(15,6,ROW('Usage Detail'!$A$5:$A$204)/(('Usage Detail'!$B$5:$B$204="Tasting")+('Usage Detail'!$B$5:$B$204="Promotional")),ROW(A166))),"")</f>
        <v/>
      </c>
      <c r="F174" s="4">
        <f>IFERROR(INDEX('Usage Detail'!$F:$F,AGGREGATE(15,6,ROW('Usage Detail'!$A$5:$A$204)/(('Usage Detail'!$B$5:$B$204="Tasting")+('Usage Detail'!$B$5:$B$204="Promotional")),ROW(A166))),"")</f>
        <v/>
      </c>
      <c r="G174" s="4">
        <f>IFERROR(INDEX('Usage Detail'!$G:$G,AGGREGATE(15,6,ROW('Usage Detail'!$A$5:$A$204)/(('Usage Detail'!$B$5:$B$204="Tasting")+('Usage Detail'!$B$5:$B$204="Promotional")),ROW(A166))),"")</f>
        <v/>
      </c>
      <c r="H174" s="4">
        <f>IFERROR(INDEX('Usage Detail'!$H:$H,AGGREGATE(15,6,ROW('Usage Detail'!$A$5:$A$204)/(('Usage Detail'!$B$5:$B$204="Tasting")+('Usage Detail'!$B$5:$B$204="Promotional")),ROW(A166))),"")</f>
        <v/>
      </c>
    </row>
    <row r="175">
      <c r="A175" s="3">
        <f>IFERROR(INDEX('Usage Detail'!$A:$A,AGGREGATE(15,6,ROW('Usage Detail'!$A$5:$A$204)/(('Usage Detail'!$B$5:$B$204="Tasting")+('Usage Detail'!$B$5:$B$204="Promotional")),ROW(A167))),"")</f>
        <v/>
      </c>
      <c r="B175" s="3">
        <f>IFERROR(INDEX('Usage Detail'!$B:$B,AGGREGATE(15,6,ROW('Usage Detail'!$A$5:$A$204)/(('Usage Detail'!$B$5:$B$204="Tasting")+('Usage Detail'!$B$5:$B$204="Promotional")),ROW(A167))),"")</f>
        <v/>
      </c>
      <c r="C175" s="3">
        <f>IFERROR(INDEX('Usage Detail'!$C:$C,AGGREGATE(15,6,ROW('Usage Detail'!$A$5:$A$204)/(('Usage Detail'!$B$5:$B$204="Tasting")+('Usage Detail'!$B$5:$B$204="Promotional")),ROW(A167))),"")</f>
        <v/>
      </c>
      <c r="D175" s="3">
        <f>IFERROR(INDEX('Usage Detail'!$D:$D,AGGREGATE(15,6,ROW('Usage Detail'!$A$5:$A$204)/(('Usage Detail'!$B$5:$B$204="Tasting")+('Usage Detail'!$B$5:$B$204="Promotional")),ROW(A167))),"")</f>
        <v/>
      </c>
      <c r="E175" s="4">
        <f>IFERROR(INDEX('Usage Detail'!$E:$E,AGGREGATE(15,6,ROW('Usage Detail'!$A$5:$A$204)/(('Usage Detail'!$B$5:$B$204="Tasting")+('Usage Detail'!$B$5:$B$204="Promotional")),ROW(A167))),"")</f>
        <v/>
      </c>
      <c r="F175" s="4">
        <f>IFERROR(INDEX('Usage Detail'!$F:$F,AGGREGATE(15,6,ROW('Usage Detail'!$A$5:$A$204)/(('Usage Detail'!$B$5:$B$204="Tasting")+('Usage Detail'!$B$5:$B$204="Promotional")),ROW(A167))),"")</f>
        <v/>
      </c>
      <c r="G175" s="4">
        <f>IFERROR(INDEX('Usage Detail'!$G:$G,AGGREGATE(15,6,ROW('Usage Detail'!$A$5:$A$204)/(('Usage Detail'!$B$5:$B$204="Tasting")+('Usage Detail'!$B$5:$B$204="Promotional")),ROW(A167))),"")</f>
        <v/>
      </c>
      <c r="H175" s="4">
        <f>IFERROR(INDEX('Usage Detail'!$H:$H,AGGREGATE(15,6,ROW('Usage Detail'!$A$5:$A$204)/(('Usage Detail'!$B$5:$B$204="Tasting")+('Usage Detail'!$B$5:$B$204="Promotional")),ROW(A167))),"")</f>
        <v/>
      </c>
    </row>
    <row r="176">
      <c r="A176" s="3">
        <f>IFERROR(INDEX('Usage Detail'!$A:$A,AGGREGATE(15,6,ROW('Usage Detail'!$A$5:$A$204)/(('Usage Detail'!$B$5:$B$204="Tasting")+('Usage Detail'!$B$5:$B$204="Promotional")),ROW(A168))),"")</f>
        <v/>
      </c>
      <c r="B176" s="3">
        <f>IFERROR(INDEX('Usage Detail'!$B:$B,AGGREGATE(15,6,ROW('Usage Detail'!$A$5:$A$204)/(('Usage Detail'!$B$5:$B$204="Tasting")+('Usage Detail'!$B$5:$B$204="Promotional")),ROW(A168))),"")</f>
        <v/>
      </c>
      <c r="C176" s="3">
        <f>IFERROR(INDEX('Usage Detail'!$C:$C,AGGREGATE(15,6,ROW('Usage Detail'!$A$5:$A$204)/(('Usage Detail'!$B$5:$B$204="Tasting")+('Usage Detail'!$B$5:$B$204="Promotional")),ROW(A168))),"")</f>
        <v/>
      </c>
      <c r="D176" s="3">
        <f>IFERROR(INDEX('Usage Detail'!$D:$D,AGGREGATE(15,6,ROW('Usage Detail'!$A$5:$A$204)/(('Usage Detail'!$B$5:$B$204="Tasting")+('Usage Detail'!$B$5:$B$204="Promotional")),ROW(A168))),"")</f>
        <v/>
      </c>
      <c r="E176" s="4">
        <f>IFERROR(INDEX('Usage Detail'!$E:$E,AGGREGATE(15,6,ROW('Usage Detail'!$A$5:$A$204)/(('Usage Detail'!$B$5:$B$204="Tasting")+('Usage Detail'!$B$5:$B$204="Promotional")),ROW(A168))),"")</f>
        <v/>
      </c>
      <c r="F176" s="4">
        <f>IFERROR(INDEX('Usage Detail'!$F:$F,AGGREGATE(15,6,ROW('Usage Detail'!$A$5:$A$204)/(('Usage Detail'!$B$5:$B$204="Tasting")+('Usage Detail'!$B$5:$B$204="Promotional")),ROW(A168))),"")</f>
        <v/>
      </c>
      <c r="G176" s="4">
        <f>IFERROR(INDEX('Usage Detail'!$G:$G,AGGREGATE(15,6,ROW('Usage Detail'!$A$5:$A$204)/(('Usage Detail'!$B$5:$B$204="Tasting")+('Usage Detail'!$B$5:$B$204="Promotional")),ROW(A168))),"")</f>
        <v/>
      </c>
      <c r="H176" s="4">
        <f>IFERROR(INDEX('Usage Detail'!$H:$H,AGGREGATE(15,6,ROW('Usage Detail'!$A$5:$A$204)/(('Usage Detail'!$B$5:$B$204="Tasting")+('Usage Detail'!$B$5:$B$204="Promotional")),ROW(A168))),"")</f>
        <v/>
      </c>
    </row>
    <row r="177">
      <c r="A177" s="3">
        <f>IFERROR(INDEX('Usage Detail'!$A:$A,AGGREGATE(15,6,ROW('Usage Detail'!$A$5:$A$204)/(('Usage Detail'!$B$5:$B$204="Tasting")+('Usage Detail'!$B$5:$B$204="Promotional")),ROW(A169))),"")</f>
        <v/>
      </c>
      <c r="B177" s="3">
        <f>IFERROR(INDEX('Usage Detail'!$B:$B,AGGREGATE(15,6,ROW('Usage Detail'!$A$5:$A$204)/(('Usage Detail'!$B$5:$B$204="Tasting")+('Usage Detail'!$B$5:$B$204="Promotional")),ROW(A169))),"")</f>
        <v/>
      </c>
      <c r="C177" s="3">
        <f>IFERROR(INDEX('Usage Detail'!$C:$C,AGGREGATE(15,6,ROW('Usage Detail'!$A$5:$A$204)/(('Usage Detail'!$B$5:$B$204="Tasting")+('Usage Detail'!$B$5:$B$204="Promotional")),ROW(A169))),"")</f>
        <v/>
      </c>
      <c r="D177" s="3">
        <f>IFERROR(INDEX('Usage Detail'!$D:$D,AGGREGATE(15,6,ROW('Usage Detail'!$A$5:$A$204)/(('Usage Detail'!$B$5:$B$204="Tasting")+('Usage Detail'!$B$5:$B$204="Promotional")),ROW(A169))),"")</f>
        <v/>
      </c>
      <c r="E177" s="4">
        <f>IFERROR(INDEX('Usage Detail'!$E:$E,AGGREGATE(15,6,ROW('Usage Detail'!$A$5:$A$204)/(('Usage Detail'!$B$5:$B$204="Tasting")+('Usage Detail'!$B$5:$B$204="Promotional")),ROW(A169))),"")</f>
        <v/>
      </c>
      <c r="F177" s="4">
        <f>IFERROR(INDEX('Usage Detail'!$F:$F,AGGREGATE(15,6,ROW('Usage Detail'!$A$5:$A$204)/(('Usage Detail'!$B$5:$B$204="Tasting")+('Usage Detail'!$B$5:$B$204="Promotional")),ROW(A169))),"")</f>
        <v/>
      </c>
      <c r="G177" s="4">
        <f>IFERROR(INDEX('Usage Detail'!$G:$G,AGGREGATE(15,6,ROW('Usage Detail'!$A$5:$A$204)/(('Usage Detail'!$B$5:$B$204="Tasting")+('Usage Detail'!$B$5:$B$204="Promotional")),ROW(A169))),"")</f>
        <v/>
      </c>
      <c r="H177" s="4">
        <f>IFERROR(INDEX('Usage Detail'!$H:$H,AGGREGATE(15,6,ROW('Usage Detail'!$A$5:$A$204)/(('Usage Detail'!$B$5:$B$204="Tasting")+('Usage Detail'!$B$5:$B$204="Promotional")),ROW(A169))),"")</f>
        <v/>
      </c>
    </row>
    <row r="178">
      <c r="A178" s="3">
        <f>IFERROR(INDEX('Usage Detail'!$A:$A,AGGREGATE(15,6,ROW('Usage Detail'!$A$5:$A$204)/(('Usage Detail'!$B$5:$B$204="Tasting")+('Usage Detail'!$B$5:$B$204="Promotional")),ROW(A170))),"")</f>
        <v/>
      </c>
      <c r="B178" s="3">
        <f>IFERROR(INDEX('Usage Detail'!$B:$B,AGGREGATE(15,6,ROW('Usage Detail'!$A$5:$A$204)/(('Usage Detail'!$B$5:$B$204="Tasting")+('Usage Detail'!$B$5:$B$204="Promotional")),ROW(A170))),"")</f>
        <v/>
      </c>
      <c r="C178" s="3">
        <f>IFERROR(INDEX('Usage Detail'!$C:$C,AGGREGATE(15,6,ROW('Usage Detail'!$A$5:$A$204)/(('Usage Detail'!$B$5:$B$204="Tasting")+('Usage Detail'!$B$5:$B$204="Promotional")),ROW(A170))),"")</f>
        <v/>
      </c>
      <c r="D178" s="3">
        <f>IFERROR(INDEX('Usage Detail'!$D:$D,AGGREGATE(15,6,ROW('Usage Detail'!$A$5:$A$204)/(('Usage Detail'!$B$5:$B$204="Tasting")+('Usage Detail'!$B$5:$B$204="Promotional")),ROW(A170))),"")</f>
        <v/>
      </c>
      <c r="E178" s="4">
        <f>IFERROR(INDEX('Usage Detail'!$E:$E,AGGREGATE(15,6,ROW('Usage Detail'!$A$5:$A$204)/(('Usage Detail'!$B$5:$B$204="Tasting")+('Usage Detail'!$B$5:$B$204="Promotional")),ROW(A170))),"")</f>
        <v/>
      </c>
      <c r="F178" s="4">
        <f>IFERROR(INDEX('Usage Detail'!$F:$F,AGGREGATE(15,6,ROW('Usage Detail'!$A$5:$A$204)/(('Usage Detail'!$B$5:$B$204="Tasting")+('Usage Detail'!$B$5:$B$204="Promotional")),ROW(A170))),"")</f>
        <v/>
      </c>
      <c r="G178" s="4">
        <f>IFERROR(INDEX('Usage Detail'!$G:$G,AGGREGATE(15,6,ROW('Usage Detail'!$A$5:$A$204)/(('Usage Detail'!$B$5:$B$204="Tasting")+('Usage Detail'!$B$5:$B$204="Promotional")),ROW(A170))),"")</f>
        <v/>
      </c>
      <c r="H178" s="4">
        <f>IFERROR(INDEX('Usage Detail'!$H:$H,AGGREGATE(15,6,ROW('Usage Detail'!$A$5:$A$204)/(('Usage Detail'!$B$5:$B$204="Tasting")+('Usage Detail'!$B$5:$B$204="Promotional")),ROW(A170))),"")</f>
        <v/>
      </c>
    </row>
    <row r="179">
      <c r="A179" s="3">
        <f>IFERROR(INDEX('Usage Detail'!$A:$A,AGGREGATE(15,6,ROW('Usage Detail'!$A$5:$A$204)/(('Usage Detail'!$B$5:$B$204="Tasting")+('Usage Detail'!$B$5:$B$204="Promotional")),ROW(A171))),"")</f>
        <v/>
      </c>
      <c r="B179" s="3">
        <f>IFERROR(INDEX('Usage Detail'!$B:$B,AGGREGATE(15,6,ROW('Usage Detail'!$A$5:$A$204)/(('Usage Detail'!$B$5:$B$204="Tasting")+('Usage Detail'!$B$5:$B$204="Promotional")),ROW(A171))),"")</f>
        <v/>
      </c>
      <c r="C179" s="3">
        <f>IFERROR(INDEX('Usage Detail'!$C:$C,AGGREGATE(15,6,ROW('Usage Detail'!$A$5:$A$204)/(('Usage Detail'!$B$5:$B$204="Tasting")+('Usage Detail'!$B$5:$B$204="Promotional")),ROW(A171))),"")</f>
        <v/>
      </c>
      <c r="D179" s="3">
        <f>IFERROR(INDEX('Usage Detail'!$D:$D,AGGREGATE(15,6,ROW('Usage Detail'!$A$5:$A$204)/(('Usage Detail'!$B$5:$B$204="Tasting")+('Usage Detail'!$B$5:$B$204="Promotional")),ROW(A171))),"")</f>
        <v/>
      </c>
      <c r="E179" s="4">
        <f>IFERROR(INDEX('Usage Detail'!$E:$E,AGGREGATE(15,6,ROW('Usage Detail'!$A$5:$A$204)/(('Usage Detail'!$B$5:$B$204="Tasting")+('Usage Detail'!$B$5:$B$204="Promotional")),ROW(A171))),"")</f>
        <v/>
      </c>
      <c r="F179" s="4">
        <f>IFERROR(INDEX('Usage Detail'!$F:$F,AGGREGATE(15,6,ROW('Usage Detail'!$A$5:$A$204)/(('Usage Detail'!$B$5:$B$204="Tasting")+('Usage Detail'!$B$5:$B$204="Promotional")),ROW(A171))),"")</f>
        <v/>
      </c>
      <c r="G179" s="4">
        <f>IFERROR(INDEX('Usage Detail'!$G:$G,AGGREGATE(15,6,ROW('Usage Detail'!$A$5:$A$204)/(('Usage Detail'!$B$5:$B$204="Tasting")+('Usage Detail'!$B$5:$B$204="Promotional")),ROW(A171))),"")</f>
        <v/>
      </c>
      <c r="H179" s="4">
        <f>IFERROR(INDEX('Usage Detail'!$H:$H,AGGREGATE(15,6,ROW('Usage Detail'!$A$5:$A$204)/(('Usage Detail'!$B$5:$B$204="Tasting")+('Usage Detail'!$B$5:$B$204="Promotional")),ROW(A171))),"")</f>
        <v/>
      </c>
    </row>
    <row r="180">
      <c r="A180" s="3">
        <f>IFERROR(INDEX('Usage Detail'!$A:$A,AGGREGATE(15,6,ROW('Usage Detail'!$A$5:$A$204)/(('Usage Detail'!$B$5:$B$204="Tasting")+('Usage Detail'!$B$5:$B$204="Promotional")),ROW(A172))),"")</f>
        <v/>
      </c>
      <c r="B180" s="3">
        <f>IFERROR(INDEX('Usage Detail'!$B:$B,AGGREGATE(15,6,ROW('Usage Detail'!$A$5:$A$204)/(('Usage Detail'!$B$5:$B$204="Tasting")+('Usage Detail'!$B$5:$B$204="Promotional")),ROW(A172))),"")</f>
        <v/>
      </c>
      <c r="C180" s="3">
        <f>IFERROR(INDEX('Usage Detail'!$C:$C,AGGREGATE(15,6,ROW('Usage Detail'!$A$5:$A$204)/(('Usage Detail'!$B$5:$B$204="Tasting")+('Usage Detail'!$B$5:$B$204="Promotional")),ROW(A172))),"")</f>
        <v/>
      </c>
      <c r="D180" s="3">
        <f>IFERROR(INDEX('Usage Detail'!$D:$D,AGGREGATE(15,6,ROW('Usage Detail'!$A$5:$A$204)/(('Usage Detail'!$B$5:$B$204="Tasting")+('Usage Detail'!$B$5:$B$204="Promotional")),ROW(A172))),"")</f>
        <v/>
      </c>
      <c r="E180" s="4">
        <f>IFERROR(INDEX('Usage Detail'!$E:$E,AGGREGATE(15,6,ROW('Usage Detail'!$A$5:$A$204)/(('Usage Detail'!$B$5:$B$204="Tasting")+('Usage Detail'!$B$5:$B$204="Promotional")),ROW(A172))),"")</f>
        <v/>
      </c>
      <c r="F180" s="4">
        <f>IFERROR(INDEX('Usage Detail'!$F:$F,AGGREGATE(15,6,ROW('Usage Detail'!$A$5:$A$204)/(('Usage Detail'!$B$5:$B$204="Tasting")+('Usage Detail'!$B$5:$B$204="Promotional")),ROW(A172))),"")</f>
        <v/>
      </c>
      <c r="G180" s="4">
        <f>IFERROR(INDEX('Usage Detail'!$G:$G,AGGREGATE(15,6,ROW('Usage Detail'!$A$5:$A$204)/(('Usage Detail'!$B$5:$B$204="Tasting")+('Usage Detail'!$B$5:$B$204="Promotional")),ROW(A172))),"")</f>
        <v/>
      </c>
      <c r="H180" s="4">
        <f>IFERROR(INDEX('Usage Detail'!$H:$H,AGGREGATE(15,6,ROW('Usage Detail'!$A$5:$A$204)/(('Usage Detail'!$B$5:$B$204="Tasting")+('Usage Detail'!$B$5:$B$204="Promotional")),ROW(A172))),"")</f>
        <v/>
      </c>
    </row>
    <row r="181">
      <c r="A181" s="3">
        <f>IFERROR(INDEX('Usage Detail'!$A:$A,AGGREGATE(15,6,ROW('Usage Detail'!$A$5:$A$204)/(('Usage Detail'!$B$5:$B$204="Tasting")+('Usage Detail'!$B$5:$B$204="Promotional")),ROW(A173))),"")</f>
        <v/>
      </c>
      <c r="B181" s="3">
        <f>IFERROR(INDEX('Usage Detail'!$B:$B,AGGREGATE(15,6,ROW('Usage Detail'!$A$5:$A$204)/(('Usage Detail'!$B$5:$B$204="Tasting")+('Usage Detail'!$B$5:$B$204="Promotional")),ROW(A173))),"")</f>
        <v/>
      </c>
      <c r="C181" s="3">
        <f>IFERROR(INDEX('Usage Detail'!$C:$C,AGGREGATE(15,6,ROW('Usage Detail'!$A$5:$A$204)/(('Usage Detail'!$B$5:$B$204="Tasting")+('Usage Detail'!$B$5:$B$204="Promotional")),ROW(A173))),"")</f>
        <v/>
      </c>
      <c r="D181" s="3">
        <f>IFERROR(INDEX('Usage Detail'!$D:$D,AGGREGATE(15,6,ROW('Usage Detail'!$A$5:$A$204)/(('Usage Detail'!$B$5:$B$204="Tasting")+('Usage Detail'!$B$5:$B$204="Promotional")),ROW(A173))),"")</f>
        <v/>
      </c>
      <c r="E181" s="4">
        <f>IFERROR(INDEX('Usage Detail'!$E:$E,AGGREGATE(15,6,ROW('Usage Detail'!$A$5:$A$204)/(('Usage Detail'!$B$5:$B$204="Tasting")+('Usage Detail'!$B$5:$B$204="Promotional")),ROW(A173))),"")</f>
        <v/>
      </c>
      <c r="F181" s="4">
        <f>IFERROR(INDEX('Usage Detail'!$F:$F,AGGREGATE(15,6,ROW('Usage Detail'!$A$5:$A$204)/(('Usage Detail'!$B$5:$B$204="Tasting")+('Usage Detail'!$B$5:$B$204="Promotional")),ROW(A173))),"")</f>
        <v/>
      </c>
      <c r="G181" s="4">
        <f>IFERROR(INDEX('Usage Detail'!$G:$G,AGGREGATE(15,6,ROW('Usage Detail'!$A$5:$A$204)/(('Usage Detail'!$B$5:$B$204="Tasting")+('Usage Detail'!$B$5:$B$204="Promotional")),ROW(A173))),"")</f>
        <v/>
      </c>
      <c r="H181" s="4">
        <f>IFERROR(INDEX('Usage Detail'!$H:$H,AGGREGATE(15,6,ROW('Usage Detail'!$A$5:$A$204)/(('Usage Detail'!$B$5:$B$204="Tasting")+('Usage Detail'!$B$5:$B$204="Promotional")),ROW(A173))),"")</f>
        <v/>
      </c>
    </row>
    <row r="182">
      <c r="A182" s="3">
        <f>IFERROR(INDEX('Usage Detail'!$A:$A,AGGREGATE(15,6,ROW('Usage Detail'!$A$5:$A$204)/(('Usage Detail'!$B$5:$B$204="Tasting")+('Usage Detail'!$B$5:$B$204="Promotional")),ROW(A174))),"")</f>
        <v/>
      </c>
      <c r="B182" s="3">
        <f>IFERROR(INDEX('Usage Detail'!$B:$B,AGGREGATE(15,6,ROW('Usage Detail'!$A$5:$A$204)/(('Usage Detail'!$B$5:$B$204="Tasting")+('Usage Detail'!$B$5:$B$204="Promotional")),ROW(A174))),"")</f>
        <v/>
      </c>
      <c r="C182" s="3">
        <f>IFERROR(INDEX('Usage Detail'!$C:$C,AGGREGATE(15,6,ROW('Usage Detail'!$A$5:$A$204)/(('Usage Detail'!$B$5:$B$204="Tasting")+('Usage Detail'!$B$5:$B$204="Promotional")),ROW(A174))),"")</f>
        <v/>
      </c>
      <c r="D182" s="3">
        <f>IFERROR(INDEX('Usage Detail'!$D:$D,AGGREGATE(15,6,ROW('Usage Detail'!$A$5:$A$204)/(('Usage Detail'!$B$5:$B$204="Tasting")+('Usage Detail'!$B$5:$B$204="Promotional")),ROW(A174))),"")</f>
        <v/>
      </c>
      <c r="E182" s="4">
        <f>IFERROR(INDEX('Usage Detail'!$E:$E,AGGREGATE(15,6,ROW('Usage Detail'!$A$5:$A$204)/(('Usage Detail'!$B$5:$B$204="Tasting")+('Usage Detail'!$B$5:$B$204="Promotional")),ROW(A174))),"")</f>
        <v/>
      </c>
      <c r="F182" s="4">
        <f>IFERROR(INDEX('Usage Detail'!$F:$F,AGGREGATE(15,6,ROW('Usage Detail'!$A$5:$A$204)/(('Usage Detail'!$B$5:$B$204="Tasting")+('Usage Detail'!$B$5:$B$204="Promotional")),ROW(A174))),"")</f>
        <v/>
      </c>
      <c r="G182" s="4">
        <f>IFERROR(INDEX('Usage Detail'!$G:$G,AGGREGATE(15,6,ROW('Usage Detail'!$A$5:$A$204)/(('Usage Detail'!$B$5:$B$204="Tasting")+('Usage Detail'!$B$5:$B$204="Promotional")),ROW(A174))),"")</f>
        <v/>
      </c>
      <c r="H182" s="4">
        <f>IFERROR(INDEX('Usage Detail'!$H:$H,AGGREGATE(15,6,ROW('Usage Detail'!$A$5:$A$204)/(('Usage Detail'!$B$5:$B$204="Tasting")+('Usage Detail'!$B$5:$B$204="Promotional")),ROW(A174))),"")</f>
        <v/>
      </c>
    </row>
    <row r="183">
      <c r="A183" s="3">
        <f>IFERROR(INDEX('Usage Detail'!$A:$A,AGGREGATE(15,6,ROW('Usage Detail'!$A$5:$A$204)/(('Usage Detail'!$B$5:$B$204="Tasting")+('Usage Detail'!$B$5:$B$204="Promotional")),ROW(A175))),"")</f>
        <v/>
      </c>
      <c r="B183" s="3">
        <f>IFERROR(INDEX('Usage Detail'!$B:$B,AGGREGATE(15,6,ROW('Usage Detail'!$A$5:$A$204)/(('Usage Detail'!$B$5:$B$204="Tasting")+('Usage Detail'!$B$5:$B$204="Promotional")),ROW(A175))),"")</f>
        <v/>
      </c>
      <c r="C183" s="3">
        <f>IFERROR(INDEX('Usage Detail'!$C:$C,AGGREGATE(15,6,ROW('Usage Detail'!$A$5:$A$204)/(('Usage Detail'!$B$5:$B$204="Tasting")+('Usage Detail'!$B$5:$B$204="Promotional")),ROW(A175))),"")</f>
        <v/>
      </c>
      <c r="D183" s="3">
        <f>IFERROR(INDEX('Usage Detail'!$D:$D,AGGREGATE(15,6,ROW('Usage Detail'!$A$5:$A$204)/(('Usage Detail'!$B$5:$B$204="Tasting")+('Usage Detail'!$B$5:$B$204="Promotional")),ROW(A175))),"")</f>
        <v/>
      </c>
      <c r="E183" s="4">
        <f>IFERROR(INDEX('Usage Detail'!$E:$E,AGGREGATE(15,6,ROW('Usage Detail'!$A$5:$A$204)/(('Usage Detail'!$B$5:$B$204="Tasting")+('Usage Detail'!$B$5:$B$204="Promotional")),ROW(A175))),"")</f>
        <v/>
      </c>
      <c r="F183" s="4">
        <f>IFERROR(INDEX('Usage Detail'!$F:$F,AGGREGATE(15,6,ROW('Usage Detail'!$A$5:$A$204)/(('Usage Detail'!$B$5:$B$204="Tasting")+('Usage Detail'!$B$5:$B$204="Promotional")),ROW(A175))),"")</f>
        <v/>
      </c>
      <c r="G183" s="4">
        <f>IFERROR(INDEX('Usage Detail'!$G:$G,AGGREGATE(15,6,ROW('Usage Detail'!$A$5:$A$204)/(('Usage Detail'!$B$5:$B$204="Tasting")+('Usage Detail'!$B$5:$B$204="Promotional")),ROW(A175))),"")</f>
        <v/>
      </c>
      <c r="H183" s="4">
        <f>IFERROR(INDEX('Usage Detail'!$H:$H,AGGREGATE(15,6,ROW('Usage Detail'!$A$5:$A$204)/(('Usage Detail'!$B$5:$B$204="Tasting")+('Usage Detail'!$B$5:$B$204="Promotional")),ROW(A175))),"")</f>
        <v/>
      </c>
    </row>
    <row r="184">
      <c r="A184" s="3">
        <f>IFERROR(INDEX('Usage Detail'!$A:$A,AGGREGATE(15,6,ROW('Usage Detail'!$A$5:$A$204)/(('Usage Detail'!$B$5:$B$204="Tasting")+('Usage Detail'!$B$5:$B$204="Promotional")),ROW(A176))),"")</f>
        <v/>
      </c>
      <c r="B184" s="3">
        <f>IFERROR(INDEX('Usage Detail'!$B:$B,AGGREGATE(15,6,ROW('Usage Detail'!$A$5:$A$204)/(('Usage Detail'!$B$5:$B$204="Tasting")+('Usage Detail'!$B$5:$B$204="Promotional")),ROW(A176))),"")</f>
        <v/>
      </c>
      <c r="C184" s="3">
        <f>IFERROR(INDEX('Usage Detail'!$C:$C,AGGREGATE(15,6,ROW('Usage Detail'!$A$5:$A$204)/(('Usage Detail'!$B$5:$B$204="Tasting")+('Usage Detail'!$B$5:$B$204="Promotional")),ROW(A176))),"")</f>
        <v/>
      </c>
      <c r="D184" s="3">
        <f>IFERROR(INDEX('Usage Detail'!$D:$D,AGGREGATE(15,6,ROW('Usage Detail'!$A$5:$A$204)/(('Usage Detail'!$B$5:$B$204="Tasting")+('Usage Detail'!$B$5:$B$204="Promotional")),ROW(A176))),"")</f>
        <v/>
      </c>
      <c r="E184" s="4">
        <f>IFERROR(INDEX('Usage Detail'!$E:$E,AGGREGATE(15,6,ROW('Usage Detail'!$A$5:$A$204)/(('Usage Detail'!$B$5:$B$204="Tasting")+('Usage Detail'!$B$5:$B$204="Promotional")),ROW(A176))),"")</f>
        <v/>
      </c>
      <c r="F184" s="4">
        <f>IFERROR(INDEX('Usage Detail'!$F:$F,AGGREGATE(15,6,ROW('Usage Detail'!$A$5:$A$204)/(('Usage Detail'!$B$5:$B$204="Tasting")+('Usage Detail'!$B$5:$B$204="Promotional")),ROW(A176))),"")</f>
        <v/>
      </c>
      <c r="G184" s="4">
        <f>IFERROR(INDEX('Usage Detail'!$G:$G,AGGREGATE(15,6,ROW('Usage Detail'!$A$5:$A$204)/(('Usage Detail'!$B$5:$B$204="Tasting")+('Usage Detail'!$B$5:$B$204="Promotional")),ROW(A176))),"")</f>
        <v/>
      </c>
      <c r="H184" s="4">
        <f>IFERROR(INDEX('Usage Detail'!$H:$H,AGGREGATE(15,6,ROW('Usage Detail'!$A$5:$A$204)/(('Usage Detail'!$B$5:$B$204="Tasting")+('Usage Detail'!$B$5:$B$204="Promotional")),ROW(A176))),"")</f>
        <v/>
      </c>
    </row>
    <row r="185">
      <c r="A185" s="3">
        <f>IFERROR(INDEX('Usage Detail'!$A:$A,AGGREGATE(15,6,ROW('Usage Detail'!$A$5:$A$204)/(('Usage Detail'!$B$5:$B$204="Tasting")+('Usage Detail'!$B$5:$B$204="Promotional")),ROW(A177))),"")</f>
        <v/>
      </c>
      <c r="B185" s="3">
        <f>IFERROR(INDEX('Usage Detail'!$B:$B,AGGREGATE(15,6,ROW('Usage Detail'!$A$5:$A$204)/(('Usage Detail'!$B$5:$B$204="Tasting")+('Usage Detail'!$B$5:$B$204="Promotional")),ROW(A177))),"")</f>
        <v/>
      </c>
      <c r="C185" s="3">
        <f>IFERROR(INDEX('Usage Detail'!$C:$C,AGGREGATE(15,6,ROW('Usage Detail'!$A$5:$A$204)/(('Usage Detail'!$B$5:$B$204="Tasting")+('Usage Detail'!$B$5:$B$204="Promotional")),ROW(A177))),"")</f>
        <v/>
      </c>
      <c r="D185" s="3">
        <f>IFERROR(INDEX('Usage Detail'!$D:$D,AGGREGATE(15,6,ROW('Usage Detail'!$A$5:$A$204)/(('Usage Detail'!$B$5:$B$204="Tasting")+('Usage Detail'!$B$5:$B$204="Promotional")),ROW(A177))),"")</f>
        <v/>
      </c>
      <c r="E185" s="4">
        <f>IFERROR(INDEX('Usage Detail'!$E:$E,AGGREGATE(15,6,ROW('Usage Detail'!$A$5:$A$204)/(('Usage Detail'!$B$5:$B$204="Tasting")+('Usage Detail'!$B$5:$B$204="Promotional")),ROW(A177))),"")</f>
        <v/>
      </c>
      <c r="F185" s="4">
        <f>IFERROR(INDEX('Usage Detail'!$F:$F,AGGREGATE(15,6,ROW('Usage Detail'!$A$5:$A$204)/(('Usage Detail'!$B$5:$B$204="Tasting")+('Usage Detail'!$B$5:$B$204="Promotional")),ROW(A177))),"")</f>
        <v/>
      </c>
      <c r="G185" s="4">
        <f>IFERROR(INDEX('Usage Detail'!$G:$G,AGGREGATE(15,6,ROW('Usage Detail'!$A$5:$A$204)/(('Usage Detail'!$B$5:$B$204="Tasting")+('Usage Detail'!$B$5:$B$204="Promotional")),ROW(A177))),"")</f>
        <v/>
      </c>
      <c r="H185" s="4">
        <f>IFERROR(INDEX('Usage Detail'!$H:$H,AGGREGATE(15,6,ROW('Usage Detail'!$A$5:$A$204)/(('Usage Detail'!$B$5:$B$204="Tasting")+('Usage Detail'!$B$5:$B$204="Promotional")),ROW(A177))),"")</f>
        <v/>
      </c>
    </row>
    <row r="186">
      <c r="A186" s="3">
        <f>IFERROR(INDEX('Usage Detail'!$A:$A,AGGREGATE(15,6,ROW('Usage Detail'!$A$5:$A$204)/(('Usage Detail'!$B$5:$B$204="Tasting")+('Usage Detail'!$B$5:$B$204="Promotional")),ROW(A178))),"")</f>
        <v/>
      </c>
      <c r="B186" s="3">
        <f>IFERROR(INDEX('Usage Detail'!$B:$B,AGGREGATE(15,6,ROW('Usage Detail'!$A$5:$A$204)/(('Usage Detail'!$B$5:$B$204="Tasting")+('Usage Detail'!$B$5:$B$204="Promotional")),ROW(A178))),"")</f>
        <v/>
      </c>
      <c r="C186" s="3">
        <f>IFERROR(INDEX('Usage Detail'!$C:$C,AGGREGATE(15,6,ROW('Usage Detail'!$A$5:$A$204)/(('Usage Detail'!$B$5:$B$204="Tasting")+('Usage Detail'!$B$5:$B$204="Promotional")),ROW(A178))),"")</f>
        <v/>
      </c>
      <c r="D186" s="3">
        <f>IFERROR(INDEX('Usage Detail'!$D:$D,AGGREGATE(15,6,ROW('Usage Detail'!$A$5:$A$204)/(('Usage Detail'!$B$5:$B$204="Tasting")+('Usage Detail'!$B$5:$B$204="Promotional")),ROW(A178))),"")</f>
        <v/>
      </c>
      <c r="E186" s="4">
        <f>IFERROR(INDEX('Usage Detail'!$E:$E,AGGREGATE(15,6,ROW('Usage Detail'!$A$5:$A$204)/(('Usage Detail'!$B$5:$B$204="Tasting")+('Usage Detail'!$B$5:$B$204="Promotional")),ROW(A178))),"")</f>
        <v/>
      </c>
      <c r="F186" s="4">
        <f>IFERROR(INDEX('Usage Detail'!$F:$F,AGGREGATE(15,6,ROW('Usage Detail'!$A$5:$A$204)/(('Usage Detail'!$B$5:$B$204="Tasting")+('Usage Detail'!$B$5:$B$204="Promotional")),ROW(A178))),"")</f>
        <v/>
      </c>
      <c r="G186" s="4">
        <f>IFERROR(INDEX('Usage Detail'!$G:$G,AGGREGATE(15,6,ROW('Usage Detail'!$A$5:$A$204)/(('Usage Detail'!$B$5:$B$204="Tasting")+('Usage Detail'!$B$5:$B$204="Promotional")),ROW(A178))),"")</f>
        <v/>
      </c>
      <c r="H186" s="4">
        <f>IFERROR(INDEX('Usage Detail'!$H:$H,AGGREGATE(15,6,ROW('Usage Detail'!$A$5:$A$204)/(('Usage Detail'!$B$5:$B$204="Tasting")+('Usage Detail'!$B$5:$B$204="Promotional")),ROW(A178))),"")</f>
        <v/>
      </c>
    </row>
    <row r="187">
      <c r="A187" s="3">
        <f>IFERROR(INDEX('Usage Detail'!$A:$A,AGGREGATE(15,6,ROW('Usage Detail'!$A$5:$A$204)/(('Usage Detail'!$B$5:$B$204="Tasting")+('Usage Detail'!$B$5:$B$204="Promotional")),ROW(A179))),"")</f>
        <v/>
      </c>
      <c r="B187" s="3">
        <f>IFERROR(INDEX('Usage Detail'!$B:$B,AGGREGATE(15,6,ROW('Usage Detail'!$A$5:$A$204)/(('Usage Detail'!$B$5:$B$204="Tasting")+('Usage Detail'!$B$5:$B$204="Promotional")),ROW(A179))),"")</f>
        <v/>
      </c>
      <c r="C187" s="3">
        <f>IFERROR(INDEX('Usage Detail'!$C:$C,AGGREGATE(15,6,ROW('Usage Detail'!$A$5:$A$204)/(('Usage Detail'!$B$5:$B$204="Tasting")+('Usage Detail'!$B$5:$B$204="Promotional")),ROW(A179))),"")</f>
        <v/>
      </c>
      <c r="D187" s="3">
        <f>IFERROR(INDEX('Usage Detail'!$D:$D,AGGREGATE(15,6,ROW('Usage Detail'!$A$5:$A$204)/(('Usage Detail'!$B$5:$B$204="Tasting")+('Usage Detail'!$B$5:$B$204="Promotional")),ROW(A179))),"")</f>
        <v/>
      </c>
      <c r="E187" s="4">
        <f>IFERROR(INDEX('Usage Detail'!$E:$E,AGGREGATE(15,6,ROW('Usage Detail'!$A$5:$A$204)/(('Usage Detail'!$B$5:$B$204="Tasting")+('Usage Detail'!$B$5:$B$204="Promotional")),ROW(A179))),"")</f>
        <v/>
      </c>
      <c r="F187" s="4">
        <f>IFERROR(INDEX('Usage Detail'!$F:$F,AGGREGATE(15,6,ROW('Usage Detail'!$A$5:$A$204)/(('Usage Detail'!$B$5:$B$204="Tasting")+('Usage Detail'!$B$5:$B$204="Promotional")),ROW(A179))),"")</f>
        <v/>
      </c>
      <c r="G187" s="4">
        <f>IFERROR(INDEX('Usage Detail'!$G:$G,AGGREGATE(15,6,ROW('Usage Detail'!$A$5:$A$204)/(('Usage Detail'!$B$5:$B$204="Tasting")+('Usage Detail'!$B$5:$B$204="Promotional")),ROW(A179))),"")</f>
        <v/>
      </c>
      <c r="H187" s="4">
        <f>IFERROR(INDEX('Usage Detail'!$H:$H,AGGREGATE(15,6,ROW('Usage Detail'!$A$5:$A$204)/(('Usage Detail'!$B$5:$B$204="Tasting")+('Usage Detail'!$B$5:$B$204="Promotional")),ROW(A179))),"")</f>
        <v/>
      </c>
    </row>
    <row r="188">
      <c r="A188" s="3">
        <f>IFERROR(INDEX('Usage Detail'!$A:$A,AGGREGATE(15,6,ROW('Usage Detail'!$A$5:$A$204)/(('Usage Detail'!$B$5:$B$204="Tasting")+('Usage Detail'!$B$5:$B$204="Promotional")),ROW(A180))),"")</f>
        <v/>
      </c>
      <c r="B188" s="3">
        <f>IFERROR(INDEX('Usage Detail'!$B:$B,AGGREGATE(15,6,ROW('Usage Detail'!$A$5:$A$204)/(('Usage Detail'!$B$5:$B$204="Tasting")+('Usage Detail'!$B$5:$B$204="Promotional")),ROW(A180))),"")</f>
        <v/>
      </c>
      <c r="C188" s="3">
        <f>IFERROR(INDEX('Usage Detail'!$C:$C,AGGREGATE(15,6,ROW('Usage Detail'!$A$5:$A$204)/(('Usage Detail'!$B$5:$B$204="Tasting")+('Usage Detail'!$B$5:$B$204="Promotional")),ROW(A180))),"")</f>
        <v/>
      </c>
      <c r="D188" s="3">
        <f>IFERROR(INDEX('Usage Detail'!$D:$D,AGGREGATE(15,6,ROW('Usage Detail'!$A$5:$A$204)/(('Usage Detail'!$B$5:$B$204="Tasting")+('Usage Detail'!$B$5:$B$204="Promotional")),ROW(A180))),"")</f>
        <v/>
      </c>
      <c r="E188" s="4">
        <f>IFERROR(INDEX('Usage Detail'!$E:$E,AGGREGATE(15,6,ROW('Usage Detail'!$A$5:$A$204)/(('Usage Detail'!$B$5:$B$204="Tasting")+('Usage Detail'!$B$5:$B$204="Promotional")),ROW(A180))),"")</f>
        <v/>
      </c>
      <c r="F188" s="4">
        <f>IFERROR(INDEX('Usage Detail'!$F:$F,AGGREGATE(15,6,ROW('Usage Detail'!$A$5:$A$204)/(('Usage Detail'!$B$5:$B$204="Tasting")+('Usage Detail'!$B$5:$B$204="Promotional")),ROW(A180))),"")</f>
        <v/>
      </c>
      <c r="G188" s="4">
        <f>IFERROR(INDEX('Usage Detail'!$G:$G,AGGREGATE(15,6,ROW('Usage Detail'!$A$5:$A$204)/(('Usage Detail'!$B$5:$B$204="Tasting")+('Usage Detail'!$B$5:$B$204="Promotional")),ROW(A180))),"")</f>
        <v/>
      </c>
      <c r="H188" s="4">
        <f>IFERROR(INDEX('Usage Detail'!$H:$H,AGGREGATE(15,6,ROW('Usage Detail'!$A$5:$A$204)/(('Usage Detail'!$B$5:$B$204="Tasting")+('Usage Detail'!$B$5:$B$204="Promotional")),ROW(A180))),"")</f>
        <v/>
      </c>
    </row>
    <row r="189">
      <c r="A189" s="3">
        <f>IFERROR(INDEX('Usage Detail'!$A:$A,AGGREGATE(15,6,ROW('Usage Detail'!$A$5:$A$204)/(('Usage Detail'!$B$5:$B$204="Tasting")+('Usage Detail'!$B$5:$B$204="Promotional")),ROW(A181))),"")</f>
        <v/>
      </c>
      <c r="B189" s="3">
        <f>IFERROR(INDEX('Usage Detail'!$B:$B,AGGREGATE(15,6,ROW('Usage Detail'!$A$5:$A$204)/(('Usage Detail'!$B$5:$B$204="Tasting")+('Usage Detail'!$B$5:$B$204="Promotional")),ROW(A181))),"")</f>
        <v/>
      </c>
      <c r="C189" s="3">
        <f>IFERROR(INDEX('Usage Detail'!$C:$C,AGGREGATE(15,6,ROW('Usage Detail'!$A$5:$A$204)/(('Usage Detail'!$B$5:$B$204="Tasting")+('Usage Detail'!$B$5:$B$204="Promotional")),ROW(A181))),"")</f>
        <v/>
      </c>
      <c r="D189" s="3">
        <f>IFERROR(INDEX('Usage Detail'!$D:$D,AGGREGATE(15,6,ROW('Usage Detail'!$A$5:$A$204)/(('Usage Detail'!$B$5:$B$204="Tasting")+('Usage Detail'!$B$5:$B$204="Promotional")),ROW(A181))),"")</f>
        <v/>
      </c>
      <c r="E189" s="4">
        <f>IFERROR(INDEX('Usage Detail'!$E:$E,AGGREGATE(15,6,ROW('Usage Detail'!$A$5:$A$204)/(('Usage Detail'!$B$5:$B$204="Tasting")+('Usage Detail'!$B$5:$B$204="Promotional")),ROW(A181))),"")</f>
        <v/>
      </c>
      <c r="F189" s="4">
        <f>IFERROR(INDEX('Usage Detail'!$F:$F,AGGREGATE(15,6,ROW('Usage Detail'!$A$5:$A$204)/(('Usage Detail'!$B$5:$B$204="Tasting")+('Usage Detail'!$B$5:$B$204="Promotional")),ROW(A181))),"")</f>
        <v/>
      </c>
      <c r="G189" s="4">
        <f>IFERROR(INDEX('Usage Detail'!$G:$G,AGGREGATE(15,6,ROW('Usage Detail'!$A$5:$A$204)/(('Usage Detail'!$B$5:$B$204="Tasting")+('Usage Detail'!$B$5:$B$204="Promotional")),ROW(A181))),"")</f>
        <v/>
      </c>
      <c r="H189" s="4">
        <f>IFERROR(INDEX('Usage Detail'!$H:$H,AGGREGATE(15,6,ROW('Usage Detail'!$A$5:$A$204)/(('Usage Detail'!$B$5:$B$204="Tasting")+('Usage Detail'!$B$5:$B$204="Promotional")),ROW(A181))),"")</f>
        <v/>
      </c>
    </row>
    <row r="190">
      <c r="A190" s="3">
        <f>IFERROR(INDEX('Usage Detail'!$A:$A,AGGREGATE(15,6,ROW('Usage Detail'!$A$5:$A$204)/(('Usage Detail'!$B$5:$B$204="Tasting")+('Usage Detail'!$B$5:$B$204="Promotional")),ROW(A182))),"")</f>
        <v/>
      </c>
      <c r="B190" s="3">
        <f>IFERROR(INDEX('Usage Detail'!$B:$B,AGGREGATE(15,6,ROW('Usage Detail'!$A$5:$A$204)/(('Usage Detail'!$B$5:$B$204="Tasting")+('Usage Detail'!$B$5:$B$204="Promotional")),ROW(A182))),"")</f>
        <v/>
      </c>
      <c r="C190" s="3">
        <f>IFERROR(INDEX('Usage Detail'!$C:$C,AGGREGATE(15,6,ROW('Usage Detail'!$A$5:$A$204)/(('Usage Detail'!$B$5:$B$204="Tasting")+('Usage Detail'!$B$5:$B$204="Promotional")),ROW(A182))),"")</f>
        <v/>
      </c>
      <c r="D190" s="3">
        <f>IFERROR(INDEX('Usage Detail'!$D:$D,AGGREGATE(15,6,ROW('Usage Detail'!$A$5:$A$204)/(('Usage Detail'!$B$5:$B$204="Tasting")+('Usage Detail'!$B$5:$B$204="Promotional")),ROW(A182))),"")</f>
        <v/>
      </c>
      <c r="E190" s="4">
        <f>IFERROR(INDEX('Usage Detail'!$E:$E,AGGREGATE(15,6,ROW('Usage Detail'!$A$5:$A$204)/(('Usage Detail'!$B$5:$B$204="Tasting")+('Usage Detail'!$B$5:$B$204="Promotional")),ROW(A182))),"")</f>
        <v/>
      </c>
      <c r="F190" s="4">
        <f>IFERROR(INDEX('Usage Detail'!$F:$F,AGGREGATE(15,6,ROW('Usage Detail'!$A$5:$A$204)/(('Usage Detail'!$B$5:$B$204="Tasting")+('Usage Detail'!$B$5:$B$204="Promotional")),ROW(A182))),"")</f>
        <v/>
      </c>
      <c r="G190" s="4">
        <f>IFERROR(INDEX('Usage Detail'!$G:$G,AGGREGATE(15,6,ROW('Usage Detail'!$A$5:$A$204)/(('Usage Detail'!$B$5:$B$204="Tasting")+('Usage Detail'!$B$5:$B$204="Promotional")),ROW(A182))),"")</f>
        <v/>
      </c>
      <c r="H190" s="4">
        <f>IFERROR(INDEX('Usage Detail'!$H:$H,AGGREGATE(15,6,ROW('Usage Detail'!$A$5:$A$204)/(('Usage Detail'!$B$5:$B$204="Tasting")+('Usage Detail'!$B$5:$B$204="Promotional")),ROW(A182))),"")</f>
        <v/>
      </c>
    </row>
    <row r="191">
      <c r="A191" s="3">
        <f>IFERROR(INDEX('Usage Detail'!$A:$A,AGGREGATE(15,6,ROW('Usage Detail'!$A$5:$A$204)/(('Usage Detail'!$B$5:$B$204="Tasting")+('Usage Detail'!$B$5:$B$204="Promotional")),ROW(A183))),"")</f>
        <v/>
      </c>
      <c r="B191" s="3">
        <f>IFERROR(INDEX('Usage Detail'!$B:$B,AGGREGATE(15,6,ROW('Usage Detail'!$A$5:$A$204)/(('Usage Detail'!$B$5:$B$204="Tasting")+('Usage Detail'!$B$5:$B$204="Promotional")),ROW(A183))),"")</f>
        <v/>
      </c>
      <c r="C191" s="3">
        <f>IFERROR(INDEX('Usage Detail'!$C:$C,AGGREGATE(15,6,ROW('Usage Detail'!$A$5:$A$204)/(('Usage Detail'!$B$5:$B$204="Tasting")+('Usage Detail'!$B$5:$B$204="Promotional")),ROW(A183))),"")</f>
        <v/>
      </c>
      <c r="D191" s="3">
        <f>IFERROR(INDEX('Usage Detail'!$D:$D,AGGREGATE(15,6,ROW('Usage Detail'!$A$5:$A$204)/(('Usage Detail'!$B$5:$B$204="Tasting")+('Usage Detail'!$B$5:$B$204="Promotional")),ROW(A183))),"")</f>
        <v/>
      </c>
      <c r="E191" s="4">
        <f>IFERROR(INDEX('Usage Detail'!$E:$E,AGGREGATE(15,6,ROW('Usage Detail'!$A$5:$A$204)/(('Usage Detail'!$B$5:$B$204="Tasting")+('Usage Detail'!$B$5:$B$204="Promotional")),ROW(A183))),"")</f>
        <v/>
      </c>
      <c r="F191" s="4">
        <f>IFERROR(INDEX('Usage Detail'!$F:$F,AGGREGATE(15,6,ROW('Usage Detail'!$A$5:$A$204)/(('Usage Detail'!$B$5:$B$204="Tasting")+('Usage Detail'!$B$5:$B$204="Promotional")),ROW(A183))),"")</f>
        <v/>
      </c>
      <c r="G191" s="4">
        <f>IFERROR(INDEX('Usage Detail'!$G:$G,AGGREGATE(15,6,ROW('Usage Detail'!$A$5:$A$204)/(('Usage Detail'!$B$5:$B$204="Tasting")+('Usage Detail'!$B$5:$B$204="Promotional")),ROW(A183))),"")</f>
        <v/>
      </c>
      <c r="H191" s="4">
        <f>IFERROR(INDEX('Usage Detail'!$H:$H,AGGREGATE(15,6,ROW('Usage Detail'!$A$5:$A$204)/(('Usage Detail'!$B$5:$B$204="Tasting")+('Usage Detail'!$B$5:$B$204="Promotional")),ROW(A183))),"")</f>
        <v/>
      </c>
    </row>
    <row r="192">
      <c r="A192" s="3">
        <f>IFERROR(INDEX('Usage Detail'!$A:$A,AGGREGATE(15,6,ROW('Usage Detail'!$A$5:$A$204)/(('Usage Detail'!$B$5:$B$204="Tasting")+('Usage Detail'!$B$5:$B$204="Promotional")),ROW(A184))),"")</f>
        <v/>
      </c>
      <c r="B192" s="3">
        <f>IFERROR(INDEX('Usage Detail'!$B:$B,AGGREGATE(15,6,ROW('Usage Detail'!$A$5:$A$204)/(('Usage Detail'!$B$5:$B$204="Tasting")+('Usage Detail'!$B$5:$B$204="Promotional")),ROW(A184))),"")</f>
        <v/>
      </c>
      <c r="C192" s="3">
        <f>IFERROR(INDEX('Usage Detail'!$C:$C,AGGREGATE(15,6,ROW('Usage Detail'!$A$5:$A$204)/(('Usage Detail'!$B$5:$B$204="Tasting")+('Usage Detail'!$B$5:$B$204="Promotional")),ROW(A184))),"")</f>
        <v/>
      </c>
      <c r="D192" s="3">
        <f>IFERROR(INDEX('Usage Detail'!$D:$D,AGGREGATE(15,6,ROW('Usage Detail'!$A$5:$A$204)/(('Usage Detail'!$B$5:$B$204="Tasting")+('Usage Detail'!$B$5:$B$204="Promotional")),ROW(A184))),"")</f>
        <v/>
      </c>
      <c r="E192" s="4">
        <f>IFERROR(INDEX('Usage Detail'!$E:$E,AGGREGATE(15,6,ROW('Usage Detail'!$A$5:$A$204)/(('Usage Detail'!$B$5:$B$204="Tasting")+('Usage Detail'!$B$5:$B$204="Promotional")),ROW(A184))),"")</f>
        <v/>
      </c>
      <c r="F192" s="4">
        <f>IFERROR(INDEX('Usage Detail'!$F:$F,AGGREGATE(15,6,ROW('Usage Detail'!$A$5:$A$204)/(('Usage Detail'!$B$5:$B$204="Tasting")+('Usage Detail'!$B$5:$B$204="Promotional")),ROW(A184))),"")</f>
        <v/>
      </c>
      <c r="G192" s="4">
        <f>IFERROR(INDEX('Usage Detail'!$G:$G,AGGREGATE(15,6,ROW('Usage Detail'!$A$5:$A$204)/(('Usage Detail'!$B$5:$B$204="Tasting")+('Usage Detail'!$B$5:$B$204="Promotional")),ROW(A184))),"")</f>
        <v/>
      </c>
      <c r="H192" s="4">
        <f>IFERROR(INDEX('Usage Detail'!$H:$H,AGGREGATE(15,6,ROW('Usage Detail'!$A$5:$A$204)/(('Usage Detail'!$B$5:$B$204="Tasting")+('Usage Detail'!$B$5:$B$204="Promotional")),ROW(A184))),"")</f>
        <v/>
      </c>
    </row>
    <row r="193">
      <c r="A193" s="3">
        <f>IFERROR(INDEX('Usage Detail'!$A:$A,AGGREGATE(15,6,ROW('Usage Detail'!$A$5:$A$204)/(('Usage Detail'!$B$5:$B$204="Tasting")+('Usage Detail'!$B$5:$B$204="Promotional")),ROW(A185))),"")</f>
        <v/>
      </c>
      <c r="B193" s="3">
        <f>IFERROR(INDEX('Usage Detail'!$B:$B,AGGREGATE(15,6,ROW('Usage Detail'!$A$5:$A$204)/(('Usage Detail'!$B$5:$B$204="Tasting")+('Usage Detail'!$B$5:$B$204="Promotional")),ROW(A185))),"")</f>
        <v/>
      </c>
      <c r="C193" s="3">
        <f>IFERROR(INDEX('Usage Detail'!$C:$C,AGGREGATE(15,6,ROW('Usage Detail'!$A$5:$A$204)/(('Usage Detail'!$B$5:$B$204="Tasting")+('Usage Detail'!$B$5:$B$204="Promotional")),ROW(A185))),"")</f>
        <v/>
      </c>
      <c r="D193" s="3">
        <f>IFERROR(INDEX('Usage Detail'!$D:$D,AGGREGATE(15,6,ROW('Usage Detail'!$A$5:$A$204)/(('Usage Detail'!$B$5:$B$204="Tasting")+('Usage Detail'!$B$5:$B$204="Promotional")),ROW(A185))),"")</f>
        <v/>
      </c>
      <c r="E193" s="4">
        <f>IFERROR(INDEX('Usage Detail'!$E:$E,AGGREGATE(15,6,ROW('Usage Detail'!$A$5:$A$204)/(('Usage Detail'!$B$5:$B$204="Tasting")+('Usage Detail'!$B$5:$B$204="Promotional")),ROW(A185))),"")</f>
        <v/>
      </c>
      <c r="F193" s="4">
        <f>IFERROR(INDEX('Usage Detail'!$F:$F,AGGREGATE(15,6,ROW('Usage Detail'!$A$5:$A$204)/(('Usage Detail'!$B$5:$B$204="Tasting")+('Usage Detail'!$B$5:$B$204="Promotional")),ROW(A185))),"")</f>
        <v/>
      </c>
      <c r="G193" s="4">
        <f>IFERROR(INDEX('Usage Detail'!$G:$G,AGGREGATE(15,6,ROW('Usage Detail'!$A$5:$A$204)/(('Usage Detail'!$B$5:$B$204="Tasting")+('Usage Detail'!$B$5:$B$204="Promotional")),ROW(A185))),"")</f>
        <v/>
      </c>
      <c r="H193" s="4">
        <f>IFERROR(INDEX('Usage Detail'!$H:$H,AGGREGATE(15,6,ROW('Usage Detail'!$A$5:$A$204)/(('Usage Detail'!$B$5:$B$204="Tasting")+('Usage Detail'!$B$5:$B$204="Promotional")),ROW(A185))),"")</f>
        <v/>
      </c>
    </row>
    <row r="194">
      <c r="A194" s="3">
        <f>IFERROR(INDEX('Usage Detail'!$A:$A,AGGREGATE(15,6,ROW('Usage Detail'!$A$5:$A$204)/(('Usage Detail'!$B$5:$B$204="Tasting")+('Usage Detail'!$B$5:$B$204="Promotional")),ROW(A186))),"")</f>
        <v/>
      </c>
      <c r="B194" s="3">
        <f>IFERROR(INDEX('Usage Detail'!$B:$B,AGGREGATE(15,6,ROW('Usage Detail'!$A$5:$A$204)/(('Usage Detail'!$B$5:$B$204="Tasting")+('Usage Detail'!$B$5:$B$204="Promotional")),ROW(A186))),"")</f>
        <v/>
      </c>
      <c r="C194" s="3">
        <f>IFERROR(INDEX('Usage Detail'!$C:$C,AGGREGATE(15,6,ROW('Usage Detail'!$A$5:$A$204)/(('Usage Detail'!$B$5:$B$204="Tasting")+('Usage Detail'!$B$5:$B$204="Promotional")),ROW(A186))),"")</f>
        <v/>
      </c>
      <c r="D194" s="3">
        <f>IFERROR(INDEX('Usage Detail'!$D:$D,AGGREGATE(15,6,ROW('Usage Detail'!$A$5:$A$204)/(('Usage Detail'!$B$5:$B$204="Tasting")+('Usage Detail'!$B$5:$B$204="Promotional")),ROW(A186))),"")</f>
        <v/>
      </c>
      <c r="E194" s="4">
        <f>IFERROR(INDEX('Usage Detail'!$E:$E,AGGREGATE(15,6,ROW('Usage Detail'!$A$5:$A$204)/(('Usage Detail'!$B$5:$B$204="Tasting")+('Usage Detail'!$B$5:$B$204="Promotional")),ROW(A186))),"")</f>
        <v/>
      </c>
      <c r="F194" s="4">
        <f>IFERROR(INDEX('Usage Detail'!$F:$F,AGGREGATE(15,6,ROW('Usage Detail'!$A$5:$A$204)/(('Usage Detail'!$B$5:$B$204="Tasting")+('Usage Detail'!$B$5:$B$204="Promotional")),ROW(A186))),"")</f>
        <v/>
      </c>
      <c r="G194" s="4">
        <f>IFERROR(INDEX('Usage Detail'!$G:$G,AGGREGATE(15,6,ROW('Usage Detail'!$A$5:$A$204)/(('Usage Detail'!$B$5:$B$204="Tasting")+('Usage Detail'!$B$5:$B$204="Promotional")),ROW(A186))),"")</f>
        <v/>
      </c>
      <c r="H194" s="4">
        <f>IFERROR(INDEX('Usage Detail'!$H:$H,AGGREGATE(15,6,ROW('Usage Detail'!$A$5:$A$204)/(('Usage Detail'!$B$5:$B$204="Tasting")+('Usage Detail'!$B$5:$B$204="Promotional")),ROW(A186))),"")</f>
        <v/>
      </c>
    </row>
    <row r="195">
      <c r="A195" s="3">
        <f>IFERROR(INDEX('Usage Detail'!$A:$A,AGGREGATE(15,6,ROW('Usage Detail'!$A$5:$A$204)/(('Usage Detail'!$B$5:$B$204="Tasting")+('Usage Detail'!$B$5:$B$204="Promotional")),ROW(A187))),"")</f>
        <v/>
      </c>
      <c r="B195" s="3">
        <f>IFERROR(INDEX('Usage Detail'!$B:$B,AGGREGATE(15,6,ROW('Usage Detail'!$A$5:$A$204)/(('Usage Detail'!$B$5:$B$204="Tasting")+('Usage Detail'!$B$5:$B$204="Promotional")),ROW(A187))),"")</f>
        <v/>
      </c>
      <c r="C195" s="3">
        <f>IFERROR(INDEX('Usage Detail'!$C:$C,AGGREGATE(15,6,ROW('Usage Detail'!$A$5:$A$204)/(('Usage Detail'!$B$5:$B$204="Tasting")+('Usage Detail'!$B$5:$B$204="Promotional")),ROW(A187))),"")</f>
        <v/>
      </c>
      <c r="D195" s="3">
        <f>IFERROR(INDEX('Usage Detail'!$D:$D,AGGREGATE(15,6,ROW('Usage Detail'!$A$5:$A$204)/(('Usage Detail'!$B$5:$B$204="Tasting")+('Usage Detail'!$B$5:$B$204="Promotional")),ROW(A187))),"")</f>
        <v/>
      </c>
      <c r="E195" s="4">
        <f>IFERROR(INDEX('Usage Detail'!$E:$E,AGGREGATE(15,6,ROW('Usage Detail'!$A$5:$A$204)/(('Usage Detail'!$B$5:$B$204="Tasting")+('Usage Detail'!$B$5:$B$204="Promotional")),ROW(A187))),"")</f>
        <v/>
      </c>
      <c r="F195" s="4">
        <f>IFERROR(INDEX('Usage Detail'!$F:$F,AGGREGATE(15,6,ROW('Usage Detail'!$A$5:$A$204)/(('Usage Detail'!$B$5:$B$204="Tasting")+('Usage Detail'!$B$5:$B$204="Promotional")),ROW(A187))),"")</f>
        <v/>
      </c>
      <c r="G195" s="4">
        <f>IFERROR(INDEX('Usage Detail'!$G:$G,AGGREGATE(15,6,ROW('Usage Detail'!$A$5:$A$204)/(('Usage Detail'!$B$5:$B$204="Tasting")+('Usage Detail'!$B$5:$B$204="Promotional")),ROW(A187))),"")</f>
        <v/>
      </c>
      <c r="H195" s="4">
        <f>IFERROR(INDEX('Usage Detail'!$H:$H,AGGREGATE(15,6,ROW('Usage Detail'!$A$5:$A$204)/(('Usage Detail'!$B$5:$B$204="Tasting")+('Usage Detail'!$B$5:$B$204="Promotional")),ROW(A187))),"")</f>
        <v/>
      </c>
    </row>
    <row r="196">
      <c r="A196" s="3">
        <f>IFERROR(INDEX('Usage Detail'!$A:$A,AGGREGATE(15,6,ROW('Usage Detail'!$A$5:$A$204)/(('Usage Detail'!$B$5:$B$204="Tasting")+('Usage Detail'!$B$5:$B$204="Promotional")),ROW(A188))),"")</f>
        <v/>
      </c>
      <c r="B196" s="3">
        <f>IFERROR(INDEX('Usage Detail'!$B:$B,AGGREGATE(15,6,ROW('Usage Detail'!$A$5:$A$204)/(('Usage Detail'!$B$5:$B$204="Tasting")+('Usage Detail'!$B$5:$B$204="Promotional")),ROW(A188))),"")</f>
        <v/>
      </c>
      <c r="C196" s="3">
        <f>IFERROR(INDEX('Usage Detail'!$C:$C,AGGREGATE(15,6,ROW('Usage Detail'!$A$5:$A$204)/(('Usage Detail'!$B$5:$B$204="Tasting")+('Usage Detail'!$B$5:$B$204="Promotional")),ROW(A188))),"")</f>
        <v/>
      </c>
      <c r="D196" s="3">
        <f>IFERROR(INDEX('Usage Detail'!$D:$D,AGGREGATE(15,6,ROW('Usage Detail'!$A$5:$A$204)/(('Usage Detail'!$B$5:$B$204="Tasting")+('Usage Detail'!$B$5:$B$204="Promotional")),ROW(A188))),"")</f>
        <v/>
      </c>
      <c r="E196" s="4">
        <f>IFERROR(INDEX('Usage Detail'!$E:$E,AGGREGATE(15,6,ROW('Usage Detail'!$A$5:$A$204)/(('Usage Detail'!$B$5:$B$204="Tasting")+('Usage Detail'!$B$5:$B$204="Promotional")),ROW(A188))),"")</f>
        <v/>
      </c>
      <c r="F196" s="4">
        <f>IFERROR(INDEX('Usage Detail'!$F:$F,AGGREGATE(15,6,ROW('Usage Detail'!$A$5:$A$204)/(('Usage Detail'!$B$5:$B$204="Tasting")+('Usage Detail'!$B$5:$B$204="Promotional")),ROW(A188))),"")</f>
        <v/>
      </c>
      <c r="G196" s="4">
        <f>IFERROR(INDEX('Usage Detail'!$G:$G,AGGREGATE(15,6,ROW('Usage Detail'!$A$5:$A$204)/(('Usage Detail'!$B$5:$B$204="Tasting")+('Usage Detail'!$B$5:$B$204="Promotional")),ROW(A188))),"")</f>
        <v/>
      </c>
      <c r="H196" s="4">
        <f>IFERROR(INDEX('Usage Detail'!$H:$H,AGGREGATE(15,6,ROW('Usage Detail'!$A$5:$A$204)/(('Usage Detail'!$B$5:$B$204="Tasting")+('Usage Detail'!$B$5:$B$204="Promotional")),ROW(A188))),"")</f>
        <v/>
      </c>
    </row>
    <row r="197">
      <c r="A197" s="3">
        <f>IFERROR(INDEX('Usage Detail'!$A:$A,AGGREGATE(15,6,ROW('Usage Detail'!$A$5:$A$204)/(('Usage Detail'!$B$5:$B$204="Tasting")+('Usage Detail'!$B$5:$B$204="Promotional")),ROW(A189))),"")</f>
        <v/>
      </c>
      <c r="B197" s="3">
        <f>IFERROR(INDEX('Usage Detail'!$B:$B,AGGREGATE(15,6,ROW('Usage Detail'!$A$5:$A$204)/(('Usage Detail'!$B$5:$B$204="Tasting")+('Usage Detail'!$B$5:$B$204="Promotional")),ROW(A189))),"")</f>
        <v/>
      </c>
      <c r="C197" s="3">
        <f>IFERROR(INDEX('Usage Detail'!$C:$C,AGGREGATE(15,6,ROW('Usage Detail'!$A$5:$A$204)/(('Usage Detail'!$B$5:$B$204="Tasting")+('Usage Detail'!$B$5:$B$204="Promotional")),ROW(A189))),"")</f>
        <v/>
      </c>
      <c r="D197" s="3">
        <f>IFERROR(INDEX('Usage Detail'!$D:$D,AGGREGATE(15,6,ROW('Usage Detail'!$A$5:$A$204)/(('Usage Detail'!$B$5:$B$204="Tasting")+('Usage Detail'!$B$5:$B$204="Promotional")),ROW(A189))),"")</f>
        <v/>
      </c>
      <c r="E197" s="4">
        <f>IFERROR(INDEX('Usage Detail'!$E:$E,AGGREGATE(15,6,ROW('Usage Detail'!$A$5:$A$204)/(('Usage Detail'!$B$5:$B$204="Tasting")+('Usage Detail'!$B$5:$B$204="Promotional")),ROW(A189))),"")</f>
        <v/>
      </c>
      <c r="F197" s="4">
        <f>IFERROR(INDEX('Usage Detail'!$F:$F,AGGREGATE(15,6,ROW('Usage Detail'!$A$5:$A$204)/(('Usage Detail'!$B$5:$B$204="Tasting")+('Usage Detail'!$B$5:$B$204="Promotional")),ROW(A189))),"")</f>
        <v/>
      </c>
      <c r="G197" s="4">
        <f>IFERROR(INDEX('Usage Detail'!$G:$G,AGGREGATE(15,6,ROW('Usage Detail'!$A$5:$A$204)/(('Usage Detail'!$B$5:$B$204="Tasting")+('Usage Detail'!$B$5:$B$204="Promotional")),ROW(A189))),"")</f>
        <v/>
      </c>
      <c r="H197" s="4">
        <f>IFERROR(INDEX('Usage Detail'!$H:$H,AGGREGATE(15,6,ROW('Usage Detail'!$A$5:$A$204)/(('Usage Detail'!$B$5:$B$204="Tasting")+('Usage Detail'!$B$5:$B$204="Promotional")),ROW(A189))),"")</f>
        <v/>
      </c>
    </row>
    <row r="198">
      <c r="A198" s="3">
        <f>IFERROR(INDEX('Usage Detail'!$A:$A,AGGREGATE(15,6,ROW('Usage Detail'!$A$5:$A$204)/(('Usage Detail'!$B$5:$B$204="Tasting")+('Usage Detail'!$B$5:$B$204="Promotional")),ROW(A190))),"")</f>
        <v/>
      </c>
      <c r="B198" s="3">
        <f>IFERROR(INDEX('Usage Detail'!$B:$B,AGGREGATE(15,6,ROW('Usage Detail'!$A$5:$A$204)/(('Usage Detail'!$B$5:$B$204="Tasting")+('Usage Detail'!$B$5:$B$204="Promotional")),ROW(A190))),"")</f>
        <v/>
      </c>
      <c r="C198" s="3">
        <f>IFERROR(INDEX('Usage Detail'!$C:$C,AGGREGATE(15,6,ROW('Usage Detail'!$A$5:$A$204)/(('Usage Detail'!$B$5:$B$204="Tasting")+('Usage Detail'!$B$5:$B$204="Promotional")),ROW(A190))),"")</f>
        <v/>
      </c>
      <c r="D198" s="3">
        <f>IFERROR(INDEX('Usage Detail'!$D:$D,AGGREGATE(15,6,ROW('Usage Detail'!$A$5:$A$204)/(('Usage Detail'!$B$5:$B$204="Tasting")+('Usage Detail'!$B$5:$B$204="Promotional")),ROW(A190))),"")</f>
        <v/>
      </c>
      <c r="E198" s="4">
        <f>IFERROR(INDEX('Usage Detail'!$E:$E,AGGREGATE(15,6,ROW('Usage Detail'!$A$5:$A$204)/(('Usage Detail'!$B$5:$B$204="Tasting")+('Usage Detail'!$B$5:$B$204="Promotional")),ROW(A190))),"")</f>
        <v/>
      </c>
      <c r="F198" s="4">
        <f>IFERROR(INDEX('Usage Detail'!$F:$F,AGGREGATE(15,6,ROW('Usage Detail'!$A$5:$A$204)/(('Usage Detail'!$B$5:$B$204="Tasting")+('Usage Detail'!$B$5:$B$204="Promotional")),ROW(A190))),"")</f>
        <v/>
      </c>
      <c r="G198" s="4">
        <f>IFERROR(INDEX('Usage Detail'!$G:$G,AGGREGATE(15,6,ROW('Usage Detail'!$A$5:$A$204)/(('Usage Detail'!$B$5:$B$204="Tasting")+('Usage Detail'!$B$5:$B$204="Promotional")),ROW(A190))),"")</f>
        <v/>
      </c>
      <c r="H198" s="4">
        <f>IFERROR(INDEX('Usage Detail'!$H:$H,AGGREGATE(15,6,ROW('Usage Detail'!$A$5:$A$204)/(('Usage Detail'!$B$5:$B$204="Tasting")+('Usage Detail'!$B$5:$B$204="Promotional")),ROW(A190))),"")</f>
        <v/>
      </c>
    </row>
    <row r="199">
      <c r="A199" s="3">
        <f>IFERROR(INDEX('Usage Detail'!$A:$A,AGGREGATE(15,6,ROW('Usage Detail'!$A$5:$A$204)/(('Usage Detail'!$B$5:$B$204="Tasting")+('Usage Detail'!$B$5:$B$204="Promotional")),ROW(A191))),"")</f>
        <v/>
      </c>
      <c r="B199" s="3">
        <f>IFERROR(INDEX('Usage Detail'!$B:$B,AGGREGATE(15,6,ROW('Usage Detail'!$A$5:$A$204)/(('Usage Detail'!$B$5:$B$204="Tasting")+('Usage Detail'!$B$5:$B$204="Promotional")),ROW(A191))),"")</f>
        <v/>
      </c>
      <c r="C199" s="3">
        <f>IFERROR(INDEX('Usage Detail'!$C:$C,AGGREGATE(15,6,ROW('Usage Detail'!$A$5:$A$204)/(('Usage Detail'!$B$5:$B$204="Tasting")+('Usage Detail'!$B$5:$B$204="Promotional")),ROW(A191))),"")</f>
        <v/>
      </c>
      <c r="D199" s="3">
        <f>IFERROR(INDEX('Usage Detail'!$D:$D,AGGREGATE(15,6,ROW('Usage Detail'!$A$5:$A$204)/(('Usage Detail'!$B$5:$B$204="Tasting")+('Usage Detail'!$B$5:$B$204="Promotional")),ROW(A191))),"")</f>
        <v/>
      </c>
      <c r="E199" s="4">
        <f>IFERROR(INDEX('Usage Detail'!$E:$E,AGGREGATE(15,6,ROW('Usage Detail'!$A$5:$A$204)/(('Usage Detail'!$B$5:$B$204="Tasting")+('Usage Detail'!$B$5:$B$204="Promotional")),ROW(A191))),"")</f>
        <v/>
      </c>
      <c r="F199" s="4">
        <f>IFERROR(INDEX('Usage Detail'!$F:$F,AGGREGATE(15,6,ROW('Usage Detail'!$A$5:$A$204)/(('Usage Detail'!$B$5:$B$204="Tasting")+('Usage Detail'!$B$5:$B$204="Promotional")),ROW(A191))),"")</f>
        <v/>
      </c>
      <c r="G199" s="4">
        <f>IFERROR(INDEX('Usage Detail'!$G:$G,AGGREGATE(15,6,ROW('Usage Detail'!$A$5:$A$204)/(('Usage Detail'!$B$5:$B$204="Tasting")+('Usage Detail'!$B$5:$B$204="Promotional")),ROW(A191))),"")</f>
        <v/>
      </c>
      <c r="H199" s="4">
        <f>IFERROR(INDEX('Usage Detail'!$H:$H,AGGREGATE(15,6,ROW('Usage Detail'!$A$5:$A$204)/(('Usage Detail'!$B$5:$B$204="Tasting")+('Usage Detail'!$B$5:$B$204="Promotional")),ROW(A191))),"")</f>
        <v/>
      </c>
    </row>
    <row r="200">
      <c r="A200" s="3">
        <f>IFERROR(INDEX('Usage Detail'!$A:$A,AGGREGATE(15,6,ROW('Usage Detail'!$A$5:$A$204)/(('Usage Detail'!$B$5:$B$204="Tasting")+('Usage Detail'!$B$5:$B$204="Promotional")),ROW(A192))),"")</f>
        <v/>
      </c>
      <c r="B200" s="3">
        <f>IFERROR(INDEX('Usage Detail'!$B:$B,AGGREGATE(15,6,ROW('Usage Detail'!$A$5:$A$204)/(('Usage Detail'!$B$5:$B$204="Tasting")+('Usage Detail'!$B$5:$B$204="Promotional")),ROW(A192))),"")</f>
        <v/>
      </c>
      <c r="C200" s="3">
        <f>IFERROR(INDEX('Usage Detail'!$C:$C,AGGREGATE(15,6,ROW('Usage Detail'!$A$5:$A$204)/(('Usage Detail'!$B$5:$B$204="Tasting")+('Usage Detail'!$B$5:$B$204="Promotional")),ROW(A192))),"")</f>
        <v/>
      </c>
      <c r="D200" s="3">
        <f>IFERROR(INDEX('Usage Detail'!$D:$D,AGGREGATE(15,6,ROW('Usage Detail'!$A$5:$A$204)/(('Usage Detail'!$B$5:$B$204="Tasting")+('Usage Detail'!$B$5:$B$204="Promotional")),ROW(A192))),"")</f>
        <v/>
      </c>
      <c r="E200" s="4">
        <f>IFERROR(INDEX('Usage Detail'!$E:$E,AGGREGATE(15,6,ROW('Usage Detail'!$A$5:$A$204)/(('Usage Detail'!$B$5:$B$204="Tasting")+('Usage Detail'!$B$5:$B$204="Promotional")),ROW(A192))),"")</f>
        <v/>
      </c>
      <c r="F200" s="4">
        <f>IFERROR(INDEX('Usage Detail'!$F:$F,AGGREGATE(15,6,ROW('Usage Detail'!$A$5:$A$204)/(('Usage Detail'!$B$5:$B$204="Tasting")+('Usage Detail'!$B$5:$B$204="Promotional")),ROW(A192))),"")</f>
        <v/>
      </c>
      <c r="G200" s="4">
        <f>IFERROR(INDEX('Usage Detail'!$G:$G,AGGREGATE(15,6,ROW('Usage Detail'!$A$5:$A$204)/(('Usage Detail'!$B$5:$B$204="Tasting")+('Usage Detail'!$B$5:$B$204="Promotional")),ROW(A192))),"")</f>
        <v/>
      </c>
      <c r="H200" s="4">
        <f>IFERROR(INDEX('Usage Detail'!$H:$H,AGGREGATE(15,6,ROW('Usage Detail'!$A$5:$A$204)/(('Usage Detail'!$B$5:$B$204="Tasting")+('Usage Detail'!$B$5:$B$204="Promotional")),ROW(A192))),"")</f>
        <v/>
      </c>
    </row>
    <row r="201">
      <c r="A201" s="3">
        <f>IFERROR(INDEX('Usage Detail'!$A:$A,AGGREGATE(15,6,ROW('Usage Detail'!$A$5:$A$204)/(('Usage Detail'!$B$5:$B$204="Tasting")+('Usage Detail'!$B$5:$B$204="Promotional")),ROW(A193))),"")</f>
        <v/>
      </c>
      <c r="B201" s="3">
        <f>IFERROR(INDEX('Usage Detail'!$B:$B,AGGREGATE(15,6,ROW('Usage Detail'!$A$5:$A$204)/(('Usage Detail'!$B$5:$B$204="Tasting")+('Usage Detail'!$B$5:$B$204="Promotional")),ROW(A193))),"")</f>
        <v/>
      </c>
      <c r="C201" s="3">
        <f>IFERROR(INDEX('Usage Detail'!$C:$C,AGGREGATE(15,6,ROW('Usage Detail'!$A$5:$A$204)/(('Usage Detail'!$B$5:$B$204="Tasting")+('Usage Detail'!$B$5:$B$204="Promotional")),ROW(A193))),"")</f>
        <v/>
      </c>
      <c r="D201" s="3">
        <f>IFERROR(INDEX('Usage Detail'!$D:$D,AGGREGATE(15,6,ROW('Usage Detail'!$A$5:$A$204)/(('Usage Detail'!$B$5:$B$204="Tasting")+('Usage Detail'!$B$5:$B$204="Promotional")),ROW(A193))),"")</f>
        <v/>
      </c>
      <c r="E201" s="4">
        <f>IFERROR(INDEX('Usage Detail'!$E:$E,AGGREGATE(15,6,ROW('Usage Detail'!$A$5:$A$204)/(('Usage Detail'!$B$5:$B$204="Tasting")+('Usage Detail'!$B$5:$B$204="Promotional")),ROW(A193))),"")</f>
        <v/>
      </c>
      <c r="F201" s="4">
        <f>IFERROR(INDEX('Usage Detail'!$F:$F,AGGREGATE(15,6,ROW('Usage Detail'!$A$5:$A$204)/(('Usage Detail'!$B$5:$B$204="Tasting")+('Usage Detail'!$B$5:$B$204="Promotional")),ROW(A193))),"")</f>
        <v/>
      </c>
      <c r="G201" s="4">
        <f>IFERROR(INDEX('Usage Detail'!$G:$G,AGGREGATE(15,6,ROW('Usage Detail'!$A$5:$A$204)/(('Usage Detail'!$B$5:$B$204="Tasting")+('Usage Detail'!$B$5:$B$204="Promotional")),ROW(A193))),"")</f>
        <v/>
      </c>
      <c r="H201" s="4">
        <f>IFERROR(INDEX('Usage Detail'!$H:$H,AGGREGATE(15,6,ROW('Usage Detail'!$A$5:$A$204)/(('Usage Detail'!$B$5:$B$204="Tasting")+('Usage Detail'!$B$5:$B$204="Promotional")),ROW(A193))),"")</f>
        <v/>
      </c>
    </row>
    <row r="202">
      <c r="A202" s="3">
        <f>IFERROR(INDEX('Usage Detail'!$A:$A,AGGREGATE(15,6,ROW('Usage Detail'!$A$5:$A$204)/(('Usage Detail'!$B$5:$B$204="Tasting")+('Usage Detail'!$B$5:$B$204="Promotional")),ROW(A194))),"")</f>
        <v/>
      </c>
      <c r="B202" s="3">
        <f>IFERROR(INDEX('Usage Detail'!$B:$B,AGGREGATE(15,6,ROW('Usage Detail'!$A$5:$A$204)/(('Usage Detail'!$B$5:$B$204="Tasting")+('Usage Detail'!$B$5:$B$204="Promotional")),ROW(A194))),"")</f>
        <v/>
      </c>
      <c r="C202" s="3">
        <f>IFERROR(INDEX('Usage Detail'!$C:$C,AGGREGATE(15,6,ROW('Usage Detail'!$A$5:$A$204)/(('Usage Detail'!$B$5:$B$204="Tasting")+('Usage Detail'!$B$5:$B$204="Promotional")),ROW(A194))),"")</f>
        <v/>
      </c>
      <c r="D202" s="3">
        <f>IFERROR(INDEX('Usage Detail'!$D:$D,AGGREGATE(15,6,ROW('Usage Detail'!$A$5:$A$204)/(('Usage Detail'!$B$5:$B$204="Tasting")+('Usage Detail'!$B$5:$B$204="Promotional")),ROW(A194))),"")</f>
        <v/>
      </c>
      <c r="E202" s="4">
        <f>IFERROR(INDEX('Usage Detail'!$E:$E,AGGREGATE(15,6,ROW('Usage Detail'!$A$5:$A$204)/(('Usage Detail'!$B$5:$B$204="Tasting")+('Usage Detail'!$B$5:$B$204="Promotional")),ROW(A194))),"")</f>
        <v/>
      </c>
      <c r="F202" s="4">
        <f>IFERROR(INDEX('Usage Detail'!$F:$F,AGGREGATE(15,6,ROW('Usage Detail'!$A$5:$A$204)/(('Usage Detail'!$B$5:$B$204="Tasting")+('Usage Detail'!$B$5:$B$204="Promotional")),ROW(A194))),"")</f>
        <v/>
      </c>
      <c r="G202" s="4">
        <f>IFERROR(INDEX('Usage Detail'!$G:$G,AGGREGATE(15,6,ROW('Usage Detail'!$A$5:$A$204)/(('Usage Detail'!$B$5:$B$204="Tasting")+('Usage Detail'!$B$5:$B$204="Promotional")),ROW(A194))),"")</f>
        <v/>
      </c>
      <c r="H202" s="4">
        <f>IFERROR(INDEX('Usage Detail'!$H:$H,AGGREGATE(15,6,ROW('Usage Detail'!$A$5:$A$204)/(('Usage Detail'!$B$5:$B$204="Tasting")+('Usage Detail'!$B$5:$B$204="Promotional")),ROW(A194))),"")</f>
        <v/>
      </c>
    </row>
    <row r="203">
      <c r="A203" s="3">
        <f>IFERROR(INDEX('Usage Detail'!$A:$A,AGGREGATE(15,6,ROW('Usage Detail'!$A$5:$A$204)/(('Usage Detail'!$B$5:$B$204="Tasting")+('Usage Detail'!$B$5:$B$204="Promotional")),ROW(A195))),"")</f>
        <v/>
      </c>
      <c r="B203" s="3">
        <f>IFERROR(INDEX('Usage Detail'!$B:$B,AGGREGATE(15,6,ROW('Usage Detail'!$A$5:$A$204)/(('Usage Detail'!$B$5:$B$204="Tasting")+('Usage Detail'!$B$5:$B$204="Promotional")),ROW(A195))),"")</f>
        <v/>
      </c>
      <c r="C203" s="3">
        <f>IFERROR(INDEX('Usage Detail'!$C:$C,AGGREGATE(15,6,ROW('Usage Detail'!$A$5:$A$204)/(('Usage Detail'!$B$5:$B$204="Tasting")+('Usage Detail'!$B$5:$B$204="Promotional")),ROW(A195))),"")</f>
        <v/>
      </c>
      <c r="D203" s="3">
        <f>IFERROR(INDEX('Usage Detail'!$D:$D,AGGREGATE(15,6,ROW('Usage Detail'!$A$5:$A$204)/(('Usage Detail'!$B$5:$B$204="Tasting")+('Usage Detail'!$B$5:$B$204="Promotional")),ROW(A195))),"")</f>
        <v/>
      </c>
      <c r="E203" s="4">
        <f>IFERROR(INDEX('Usage Detail'!$E:$E,AGGREGATE(15,6,ROW('Usage Detail'!$A$5:$A$204)/(('Usage Detail'!$B$5:$B$204="Tasting")+('Usage Detail'!$B$5:$B$204="Promotional")),ROW(A195))),"")</f>
        <v/>
      </c>
      <c r="F203" s="4">
        <f>IFERROR(INDEX('Usage Detail'!$F:$F,AGGREGATE(15,6,ROW('Usage Detail'!$A$5:$A$204)/(('Usage Detail'!$B$5:$B$204="Tasting")+('Usage Detail'!$B$5:$B$204="Promotional")),ROW(A195))),"")</f>
        <v/>
      </c>
      <c r="G203" s="4">
        <f>IFERROR(INDEX('Usage Detail'!$G:$G,AGGREGATE(15,6,ROW('Usage Detail'!$A$5:$A$204)/(('Usage Detail'!$B$5:$B$204="Tasting")+('Usage Detail'!$B$5:$B$204="Promotional")),ROW(A195))),"")</f>
        <v/>
      </c>
      <c r="H203" s="4">
        <f>IFERROR(INDEX('Usage Detail'!$H:$H,AGGREGATE(15,6,ROW('Usage Detail'!$A$5:$A$204)/(('Usage Detail'!$B$5:$B$204="Tasting")+('Usage Detail'!$B$5:$B$204="Promotional")),ROW(A195))),"")</f>
        <v/>
      </c>
    </row>
    <row r="204">
      <c r="A204" s="3">
        <f>IFERROR(INDEX('Usage Detail'!$A:$A,AGGREGATE(15,6,ROW('Usage Detail'!$A$5:$A$204)/(('Usage Detail'!$B$5:$B$204="Tasting")+('Usage Detail'!$B$5:$B$204="Promotional")),ROW(A196))),"")</f>
        <v/>
      </c>
      <c r="B204" s="3">
        <f>IFERROR(INDEX('Usage Detail'!$B:$B,AGGREGATE(15,6,ROW('Usage Detail'!$A$5:$A$204)/(('Usage Detail'!$B$5:$B$204="Tasting")+('Usage Detail'!$B$5:$B$204="Promotional")),ROW(A196))),"")</f>
        <v/>
      </c>
      <c r="C204" s="3">
        <f>IFERROR(INDEX('Usage Detail'!$C:$C,AGGREGATE(15,6,ROW('Usage Detail'!$A$5:$A$204)/(('Usage Detail'!$B$5:$B$204="Tasting")+('Usage Detail'!$B$5:$B$204="Promotional")),ROW(A196))),"")</f>
        <v/>
      </c>
      <c r="D204" s="3">
        <f>IFERROR(INDEX('Usage Detail'!$D:$D,AGGREGATE(15,6,ROW('Usage Detail'!$A$5:$A$204)/(('Usage Detail'!$B$5:$B$204="Tasting")+('Usage Detail'!$B$5:$B$204="Promotional")),ROW(A196))),"")</f>
        <v/>
      </c>
      <c r="E204" s="4">
        <f>IFERROR(INDEX('Usage Detail'!$E:$E,AGGREGATE(15,6,ROW('Usage Detail'!$A$5:$A$204)/(('Usage Detail'!$B$5:$B$204="Tasting")+('Usage Detail'!$B$5:$B$204="Promotional")),ROW(A196))),"")</f>
        <v/>
      </c>
      <c r="F204" s="4">
        <f>IFERROR(INDEX('Usage Detail'!$F:$F,AGGREGATE(15,6,ROW('Usage Detail'!$A$5:$A$204)/(('Usage Detail'!$B$5:$B$204="Tasting")+('Usage Detail'!$B$5:$B$204="Promotional")),ROW(A196))),"")</f>
        <v/>
      </c>
      <c r="G204" s="4">
        <f>IFERROR(INDEX('Usage Detail'!$G:$G,AGGREGATE(15,6,ROW('Usage Detail'!$A$5:$A$204)/(('Usage Detail'!$B$5:$B$204="Tasting")+('Usage Detail'!$B$5:$B$204="Promotional")),ROW(A196))),"")</f>
        <v/>
      </c>
      <c r="H204" s="4">
        <f>IFERROR(INDEX('Usage Detail'!$H:$H,AGGREGATE(15,6,ROW('Usage Detail'!$A$5:$A$204)/(('Usage Detail'!$B$5:$B$204="Tasting")+('Usage Detail'!$B$5:$B$204="Promotional")),ROW(A196))),"")</f>
        <v/>
      </c>
    </row>
    <row r="205">
      <c r="A205" s="3">
        <f>IFERROR(INDEX('Usage Detail'!$A:$A,AGGREGATE(15,6,ROW('Usage Detail'!$A$5:$A$204)/(('Usage Detail'!$B$5:$B$204="Tasting")+('Usage Detail'!$B$5:$B$204="Promotional")),ROW(A197))),"")</f>
        <v/>
      </c>
      <c r="B205" s="3">
        <f>IFERROR(INDEX('Usage Detail'!$B:$B,AGGREGATE(15,6,ROW('Usage Detail'!$A$5:$A$204)/(('Usage Detail'!$B$5:$B$204="Tasting")+('Usage Detail'!$B$5:$B$204="Promotional")),ROW(A197))),"")</f>
        <v/>
      </c>
      <c r="C205" s="3">
        <f>IFERROR(INDEX('Usage Detail'!$C:$C,AGGREGATE(15,6,ROW('Usage Detail'!$A$5:$A$204)/(('Usage Detail'!$B$5:$B$204="Tasting")+('Usage Detail'!$B$5:$B$204="Promotional")),ROW(A197))),"")</f>
        <v/>
      </c>
      <c r="D205" s="3">
        <f>IFERROR(INDEX('Usage Detail'!$D:$D,AGGREGATE(15,6,ROW('Usage Detail'!$A$5:$A$204)/(('Usage Detail'!$B$5:$B$204="Tasting")+('Usage Detail'!$B$5:$B$204="Promotional")),ROW(A197))),"")</f>
        <v/>
      </c>
      <c r="E205" s="4">
        <f>IFERROR(INDEX('Usage Detail'!$E:$E,AGGREGATE(15,6,ROW('Usage Detail'!$A$5:$A$204)/(('Usage Detail'!$B$5:$B$204="Tasting")+('Usage Detail'!$B$5:$B$204="Promotional")),ROW(A197))),"")</f>
        <v/>
      </c>
      <c r="F205" s="4">
        <f>IFERROR(INDEX('Usage Detail'!$F:$F,AGGREGATE(15,6,ROW('Usage Detail'!$A$5:$A$204)/(('Usage Detail'!$B$5:$B$204="Tasting")+('Usage Detail'!$B$5:$B$204="Promotional")),ROW(A197))),"")</f>
        <v/>
      </c>
      <c r="G205" s="4">
        <f>IFERROR(INDEX('Usage Detail'!$G:$G,AGGREGATE(15,6,ROW('Usage Detail'!$A$5:$A$204)/(('Usage Detail'!$B$5:$B$204="Tasting")+('Usage Detail'!$B$5:$B$204="Promotional")),ROW(A197))),"")</f>
        <v/>
      </c>
      <c r="H205" s="4">
        <f>IFERROR(INDEX('Usage Detail'!$H:$H,AGGREGATE(15,6,ROW('Usage Detail'!$A$5:$A$204)/(('Usage Detail'!$B$5:$B$204="Tasting")+('Usage Detail'!$B$5:$B$204="Promotional")),ROW(A197))),"")</f>
        <v/>
      </c>
    </row>
    <row r="206">
      <c r="A206" s="3">
        <f>IFERROR(INDEX('Usage Detail'!$A:$A,AGGREGATE(15,6,ROW('Usage Detail'!$A$5:$A$204)/(('Usage Detail'!$B$5:$B$204="Tasting")+('Usage Detail'!$B$5:$B$204="Promotional")),ROW(A198))),"")</f>
        <v/>
      </c>
      <c r="B206" s="3">
        <f>IFERROR(INDEX('Usage Detail'!$B:$B,AGGREGATE(15,6,ROW('Usage Detail'!$A$5:$A$204)/(('Usage Detail'!$B$5:$B$204="Tasting")+('Usage Detail'!$B$5:$B$204="Promotional")),ROW(A198))),"")</f>
        <v/>
      </c>
      <c r="C206" s="3">
        <f>IFERROR(INDEX('Usage Detail'!$C:$C,AGGREGATE(15,6,ROW('Usage Detail'!$A$5:$A$204)/(('Usage Detail'!$B$5:$B$204="Tasting")+('Usage Detail'!$B$5:$B$204="Promotional")),ROW(A198))),"")</f>
        <v/>
      </c>
      <c r="D206" s="3">
        <f>IFERROR(INDEX('Usage Detail'!$D:$D,AGGREGATE(15,6,ROW('Usage Detail'!$A$5:$A$204)/(('Usage Detail'!$B$5:$B$204="Tasting")+('Usage Detail'!$B$5:$B$204="Promotional")),ROW(A198))),"")</f>
        <v/>
      </c>
      <c r="E206" s="4">
        <f>IFERROR(INDEX('Usage Detail'!$E:$E,AGGREGATE(15,6,ROW('Usage Detail'!$A$5:$A$204)/(('Usage Detail'!$B$5:$B$204="Tasting")+('Usage Detail'!$B$5:$B$204="Promotional")),ROW(A198))),"")</f>
        <v/>
      </c>
      <c r="F206" s="4">
        <f>IFERROR(INDEX('Usage Detail'!$F:$F,AGGREGATE(15,6,ROW('Usage Detail'!$A$5:$A$204)/(('Usage Detail'!$B$5:$B$204="Tasting")+('Usage Detail'!$B$5:$B$204="Promotional")),ROW(A198))),"")</f>
        <v/>
      </c>
      <c r="G206" s="4">
        <f>IFERROR(INDEX('Usage Detail'!$G:$G,AGGREGATE(15,6,ROW('Usage Detail'!$A$5:$A$204)/(('Usage Detail'!$B$5:$B$204="Tasting")+('Usage Detail'!$B$5:$B$204="Promotional")),ROW(A198))),"")</f>
        <v/>
      </c>
      <c r="H206" s="4">
        <f>IFERROR(INDEX('Usage Detail'!$H:$H,AGGREGATE(15,6,ROW('Usage Detail'!$A$5:$A$204)/(('Usage Detail'!$B$5:$B$204="Tasting")+('Usage Detail'!$B$5:$B$204="Promotional")),ROW(A198))),"")</f>
        <v/>
      </c>
    </row>
    <row r="207">
      <c r="A207" s="3">
        <f>IFERROR(INDEX('Usage Detail'!$A:$A,AGGREGATE(15,6,ROW('Usage Detail'!$A$5:$A$204)/(('Usage Detail'!$B$5:$B$204="Tasting")+('Usage Detail'!$B$5:$B$204="Promotional")),ROW(A199))),"")</f>
        <v/>
      </c>
      <c r="B207" s="3">
        <f>IFERROR(INDEX('Usage Detail'!$B:$B,AGGREGATE(15,6,ROW('Usage Detail'!$A$5:$A$204)/(('Usage Detail'!$B$5:$B$204="Tasting")+('Usage Detail'!$B$5:$B$204="Promotional")),ROW(A199))),"")</f>
        <v/>
      </c>
      <c r="C207" s="3">
        <f>IFERROR(INDEX('Usage Detail'!$C:$C,AGGREGATE(15,6,ROW('Usage Detail'!$A$5:$A$204)/(('Usage Detail'!$B$5:$B$204="Tasting")+('Usage Detail'!$B$5:$B$204="Promotional")),ROW(A199))),"")</f>
        <v/>
      </c>
      <c r="D207" s="3">
        <f>IFERROR(INDEX('Usage Detail'!$D:$D,AGGREGATE(15,6,ROW('Usage Detail'!$A$5:$A$204)/(('Usage Detail'!$B$5:$B$204="Tasting")+('Usage Detail'!$B$5:$B$204="Promotional")),ROW(A199))),"")</f>
        <v/>
      </c>
      <c r="E207" s="4">
        <f>IFERROR(INDEX('Usage Detail'!$E:$E,AGGREGATE(15,6,ROW('Usage Detail'!$A$5:$A$204)/(('Usage Detail'!$B$5:$B$204="Tasting")+('Usage Detail'!$B$5:$B$204="Promotional")),ROW(A199))),"")</f>
        <v/>
      </c>
      <c r="F207" s="4">
        <f>IFERROR(INDEX('Usage Detail'!$F:$F,AGGREGATE(15,6,ROW('Usage Detail'!$A$5:$A$204)/(('Usage Detail'!$B$5:$B$204="Tasting")+('Usage Detail'!$B$5:$B$204="Promotional")),ROW(A199))),"")</f>
        <v/>
      </c>
      <c r="G207" s="4">
        <f>IFERROR(INDEX('Usage Detail'!$G:$G,AGGREGATE(15,6,ROW('Usage Detail'!$A$5:$A$204)/(('Usage Detail'!$B$5:$B$204="Tasting")+('Usage Detail'!$B$5:$B$204="Promotional")),ROW(A199))),"")</f>
        <v/>
      </c>
      <c r="H207" s="4">
        <f>IFERROR(INDEX('Usage Detail'!$H:$H,AGGREGATE(15,6,ROW('Usage Detail'!$A$5:$A$204)/(('Usage Detail'!$B$5:$B$204="Tasting")+('Usage Detail'!$B$5:$B$204="Promotional")),ROW(A199))),"")</f>
        <v/>
      </c>
    </row>
    <row r="208">
      <c r="A208" s="3">
        <f>IFERROR(INDEX('Usage Detail'!$A:$A,AGGREGATE(15,6,ROW('Usage Detail'!$A$5:$A$204)/(('Usage Detail'!$B$5:$B$204="Tasting")+('Usage Detail'!$B$5:$B$204="Promotional")),ROW(A200))),"")</f>
        <v/>
      </c>
      <c r="B208" s="3">
        <f>IFERROR(INDEX('Usage Detail'!$B:$B,AGGREGATE(15,6,ROW('Usage Detail'!$A$5:$A$204)/(('Usage Detail'!$B$5:$B$204="Tasting")+('Usage Detail'!$B$5:$B$204="Promotional")),ROW(A200))),"")</f>
        <v/>
      </c>
      <c r="C208" s="3">
        <f>IFERROR(INDEX('Usage Detail'!$C:$C,AGGREGATE(15,6,ROW('Usage Detail'!$A$5:$A$204)/(('Usage Detail'!$B$5:$B$204="Tasting")+('Usage Detail'!$B$5:$B$204="Promotional")),ROW(A200))),"")</f>
        <v/>
      </c>
      <c r="D208" s="3">
        <f>IFERROR(INDEX('Usage Detail'!$D:$D,AGGREGATE(15,6,ROW('Usage Detail'!$A$5:$A$204)/(('Usage Detail'!$B$5:$B$204="Tasting")+('Usage Detail'!$B$5:$B$204="Promotional")),ROW(A200))),"")</f>
        <v/>
      </c>
      <c r="E208" s="4">
        <f>IFERROR(INDEX('Usage Detail'!$E:$E,AGGREGATE(15,6,ROW('Usage Detail'!$A$5:$A$204)/(('Usage Detail'!$B$5:$B$204="Tasting")+('Usage Detail'!$B$5:$B$204="Promotional")),ROW(A200))),"")</f>
        <v/>
      </c>
      <c r="F208" s="4">
        <f>IFERROR(INDEX('Usage Detail'!$F:$F,AGGREGATE(15,6,ROW('Usage Detail'!$A$5:$A$204)/(('Usage Detail'!$B$5:$B$204="Tasting")+('Usage Detail'!$B$5:$B$204="Promotional")),ROW(A200))),"")</f>
        <v/>
      </c>
      <c r="G208" s="4">
        <f>IFERROR(INDEX('Usage Detail'!$G:$G,AGGREGATE(15,6,ROW('Usage Detail'!$A$5:$A$204)/(('Usage Detail'!$B$5:$B$204="Tasting")+('Usage Detail'!$B$5:$B$204="Promotional")),ROW(A200))),"")</f>
        <v/>
      </c>
      <c r="H208" s="4">
        <f>IFERROR(INDEX('Usage Detail'!$H:$H,AGGREGATE(15,6,ROW('Usage Detail'!$A$5:$A$204)/(('Usage Detail'!$B$5:$B$204="Tasting")+('Usage Detail'!$B$5:$B$204="Promotional")),ROW(A200))),"")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26" customWidth="1" min="5" max="5"/>
    <col width="22" customWidth="1" min="6" max="6"/>
    <col width="26" customWidth="1" min="7" max="7"/>
    <col width="36" customWidth="1" min="8" max="8"/>
  </cols>
  <sheetData>
    <row r="1" ht="22" customHeight="1">
      <c r="A1" s="1" t="inlineStr">
        <is>
          <t>Gifts — Auto-Condensed from Usage Detail</t>
        </is>
      </c>
    </row>
    <row r="2">
      <c r="A2" s="5" t="inlineStr">
        <is>
          <t>Auto-pulls every Gift row.</t>
        </is>
      </c>
    </row>
    <row r="4">
      <c r="A4" s="6" t="inlineStr">
        <is>
          <t>Total Bottles Gifted:</t>
        </is>
      </c>
      <c r="E4" s="7">
        <f>SUMIFS('Usage Detail'!C:C,'Usage Detail'!B:B,"Gift")</f>
        <v/>
      </c>
      <c r="F4" s="7">
        <f>E4*0.75</f>
        <v/>
      </c>
      <c r="G4" t="inlineStr">
        <is>
          <t>Litres</t>
        </is>
      </c>
    </row>
    <row r="7" ht="28" customHeight="1">
      <c r="A7" s="2" t="inlineStr">
        <is>
          <t>Date</t>
        </is>
      </c>
      <c r="B7" s="2" t="inlineStr">
        <is>
          <t>Category</t>
        </is>
      </c>
      <c r="C7" s="2" t="inlineStr">
        <is>
          <t>Bottles Used</t>
        </is>
      </c>
      <c r="D7" s="2" t="inlineStr">
        <is>
          <t>Litres</t>
        </is>
      </c>
      <c r="E7" s="2" t="inlineStr">
        <is>
          <t>Recipient / Restaurant</t>
        </is>
      </c>
      <c r="F7" s="2" t="inlineStr">
        <is>
          <t>Location / City</t>
        </is>
      </c>
      <c r="G7" s="2" t="inlineStr">
        <is>
          <t>Purpose</t>
        </is>
      </c>
      <c r="H7" s="2" t="inlineStr">
        <is>
          <t>Notes</t>
        </is>
      </c>
    </row>
    <row r="8">
      <c r="A8" s="3">
        <f>IFERROR(INDEX('Usage Detail'!$A:$A,AGGREGATE(15,6,ROW('Usage Detail'!$A$5:$A$204)/(('Usage Detail'!$B$5:$B$204="Gift")),ROW(A1))),"")</f>
        <v/>
      </c>
      <c r="B8" s="3">
        <f>IFERROR(INDEX('Usage Detail'!$B:$B,AGGREGATE(15,6,ROW('Usage Detail'!$A$5:$A$204)/(('Usage Detail'!$B$5:$B$204="Gift")),ROW(A1))),"")</f>
        <v/>
      </c>
      <c r="C8" s="3">
        <f>IFERROR(INDEX('Usage Detail'!$C:$C,AGGREGATE(15,6,ROW('Usage Detail'!$A$5:$A$204)/(('Usage Detail'!$B$5:$B$204="Gift")),ROW(A1))),"")</f>
        <v/>
      </c>
      <c r="D8" s="3">
        <f>IFERROR(INDEX('Usage Detail'!$D:$D,AGGREGATE(15,6,ROW('Usage Detail'!$A$5:$A$204)/(('Usage Detail'!$B$5:$B$204="Gift")),ROW(A1))),"")</f>
        <v/>
      </c>
      <c r="E8" s="4">
        <f>IFERROR(INDEX('Usage Detail'!$E:$E,AGGREGATE(15,6,ROW('Usage Detail'!$A$5:$A$204)/(('Usage Detail'!$B$5:$B$204="Gift")),ROW(A1))),"")</f>
        <v/>
      </c>
      <c r="F8" s="4">
        <f>IFERROR(INDEX('Usage Detail'!$F:$F,AGGREGATE(15,6,ROW('Usage Detail'!$A$5:$A$204)/(('Usage Detail'!$B$5:$B$204="Gift")),ROW(A1))),"")</f>
        <v/>
      </c>
      <c r="G8" s="4">
        <f>IFERROR(INDEX('Usage Detail'!$G:$G,AGGREGATE(15,6,ROW('Usage Detail'!$A$5:$A$204)/(('Usage Detail'!$B$5:$B$204="Gift")),ROW(A1))),"")</f>
        <v/>
      </c>
      <c r="H8" s="4">
        <f>IFERROR(INDEX('Usage Detail'!$H:$H,AGGREGATE(15,6,ROW('Usage Detail'!$A$5:$A$204)/(('Usage Detail'!$B$5:$B$204="Gift")),ROW(A1))),"")</f>
        <v/>
      </c>
    </row>
    <row r="9">
      <c r="A9" s="3">
        <f>IFERROR(INDEX('Usage Detail'!$A:$A,AGGREGATE(15,6,ROW('Usage Detail'!$A$5:$A$204)/(('Usage Detail'!$B$5:$B$204="Gift")),ROW(A2))),"")</f>
        <v/>
      </c>
      <c r="B9" s="3">
        <f>IFERROR(INDEX('Usage Detail'!$B:$B,AGGREGATE(15,6,ROW('Usage Detail'!$A$5:$A$204)/(('Usage Detail'!$B$5:$B$204="Gift")),ROW(A2))),"")</f>
        <v/>
      </c>
      <c r="C9" s="3">
        <f>IFERROR(INDEX('Usage Detail'!$C:$C,AGGREGATE(15,6,ROW('Usage Detail'!$A$5:$A$204)/(('Usage Detail'!$B$5:$B$204="Gift")),ROW(A2))),"")</f>
        <v/>
      </c>
      <c r="D9" s="3">
        <f>IFERROR(INDEX('Usage Detail'!$D:$D,AGGREGATE(15,6,ROW('Usage Detail'!$A$5:$A$204)/(('Usage Detail'!$B$5:$B$204="Gift")),ROW(A2))),"")</f>
        <v/>
      </c>
      <c r="E9" s="4">
        <f>IFERROR(INDEX('Usage Detail'!$E:$E,AGGREGATE(15,6,ROW('Usage Detail'!$A$5:$A$204)/(('Usage Detail'!$B$5:$B$204="Gift")),ROW(A2))),"")</f>
        <v/>
      </c>
      <c r="F9" s="4">
        <f>IFERROR(INDEX('Usage Detail'!$F:$F,AGGREGATE(15,6,ROW('Usage Detail'!$A$5:$A$204)/(('Usage Detail'!$B$5:$B$204="Gift")),ROW(A2))),"")</f>
        <v/>
      </c>
      <c r="G9" s="4">
        <f>IFERROR(INDEX('Usage Detail'!$G:$G,AGGREGATE(15,6,ROW('Usage Detail'!$A$5:$A$204)/(('Usage Detail'!$B$5:$B$204="Gift")),ROW(A2))),"")</f>
        <v/>
      </c>
      <c r="H9" s="4">
        <f>IFERROR(INDEX('Usage Detail'!$H:$H,AGGREGATE(15,6,ROW('Usage Detail'!$A$5:$A$204)/(('Usage Detail'!$B$5:$B$204="Gift")),ROW(A2))),"")</f>
        <v/>
      </c>
    </row>
    <row r="10">
      <c r="A10" s="3">
        <f>IFERROR(INDEX('Usage Detail'!$A:$A,AGGREGATE(15,6,ROW('Usage Detail'!$A$5:$A$204)/(('Usage Detail'!$B$5:$B$204="Gift")),ROW(A3))),"")</f>
        <v/>
      </c>
      <c r="B10" s="3">
        <f>IFERROR(INDEX('Usage Detail'!$B:$B,AGGREGATE(15,6,ROW('Usage Detail'!$A$5:$A$204)/(('Usage Detail'!$B$5:$B$204="Gift")),ROW(A3))),"")</f>
        <v/>
      </c>
      <c r="C10" s="3">
        <f>IFERROR(INDEX('Usage Detail'!$C:$C,AGGREGATE(15,6,ROW('Usage Detail'!$A$5:$A$204)/(('Usage Detail'!$B$5:$B$204="Gift")),ROW(A3))),"")</f>
        <v/>
      </c>
      <c r="D10" s="3">
        <f>IFERROR(INDEX('Usage Detail'!$D:$D,AGGREGATE(15,6,ROW('Usage Detail'!$A$5:$A$204)/(('Usage Detail'!$B$5:$B$204="Gift")),ROW(A3))),"")</f>
        <v/>
      </c>
      <c r="E10" s="4">
        <f>IFERROR(INDEX('Usage Detail'!$E:$E,AGGREGATE(15,6,ROW('Usage Detail'!$A$5:$A$204)/(('Usage Detail'!$B$5:$B$204="Gift")),ROW(A3))),"")</f>
        <v/>
      </c>
      <c r="F10" s="4">
        <f>IFERROR(INDEX('Usage Detail'!$F:$F,AGGREGATE(15,6,ROW('Usage Detail'!$A$5:$A$204)/(('Usage Detail'!$B$5:$B$204="Gift")),ROW(A3))),"")</f>
        <v/>
      </c>
      <c r="G10" s="4">
        <f>IFERROR(INDEX('Usage Detail'!$G:$G,AGGREGATE(15,6,ROW('Usage Detail'!$A$5:$A$204)/(('Usage Detail'!$B$5:$B$204="Gift")),ROW(A3))),"")</f>
        <v/>
      </c>
      <c r="H10" s="4">
        <f>IFERROR(INDEX('Usage Detail'!$H:$H,AGGREGATE(15,6,ROW('Usage Detail'!$A$5:$A$204)/(('Usage Detail'!$B$5:$B$204="Gift")),ROW(A3))),"")</f>
        <v/>
      </c>
    </row>
    <row r="11">
      <c r="A11" s="3">
        <f>IFERROR(INDEX('Usage Detail'!$A:$A,AGGREGATE(15,6,ROW('Usage Detail'!$A$5:$A$204)/(('Usage Detail'!$B$5:$B$204="Gift")),ROW(A4))),"")</f>
        <v/>
      </c>
      <c r="B11" s="3">
        <f>IFERROR(INDEX('Usage Detail'!$B:$B,AGGREGATE(15,6,ROW('Usage Detail'!$A$5:$A$204)/(('Usage Detail'!$B$5:$B$204="Gift")),ROW(A4))),"")</f>
        <v/>
      </c>
      <c r="C11" s="3">
        <f>IFERROR(INDEX('Usage Detail'!$C:$C,AGGREGATE(15,6,ROW('Usage Detail'!$A$5:$A$204)/(('Usage Detail'!$B$5:$B$204="Gift")),ROW(A4))),"")</f>
        <v/>
      </c>
      <c r="D11" s="3">
        <f>IFERROR(INDEX('Usage Detail'!$D:$D,AGGREGATE(15,6,ROW('Usage Detail'!$A$5:$A$204)/(('Usage Detail'!$B$5:$B$204="Gift")),ROW(A4))),"")</f>
        <v/>
      </c>
      <c r="E11" s="4">
        <f>IFERROR(INDEX('Usage Detail'!$E:$E,AGGREGATE(15,6,ROW('Usage Detail'!$A$5:$A$204)/(('Usage Detail'!$B$5:$B$204="Gift")),ROW(A4))),"")</f>
        <v/>
      </c>
      <c r="F11" s="4">
        <f>IFERROR(INDEX('Usage Detail'!$F:$F,AGGREGATE(15,6,ROW('Usage Detail'!$A$5:$A$204)/(('Usage Detail'!$B$5:$B$204="Gift")),ROW(A4))),"")</f>
        <v/>
      </c>
      <c r="G11" s="4">
        <f>IFERROR(INDEX('Usage Detail'!$G:$G,AGGREGATE(15,6,ROW('Usage Detail'!$A$5:$A$204)/(('Usage Detail'!$B$5:$B$204="Gift")),ROW(A4))),"")</f>
        <v/>
      </c>
      <c r="H11" s="4">
        <f>IFERROR(INDEX('Usage Detail'!$H:$H,AGGREGATE(15,6,ROW('Usage Detail'!$A$5:$A$204)/(('Usage Detail'!$B$5:$B$204="Gift")),ROW(A4))),"")</f>
        <v/>
      </c>
    </row>
    <row r="12">
      <c r="A12" s="3">
        <f>IFERROR(INDEX('Usage Detail'!$A:$A,AGGREGATE(15,6,ROW('Usage Detail'!$A$5:$A$204)/(('Usage Detail'!$B$5:$B$204="Gift")),ROW(A5))),"")</f>
        <v/>
      </c>
      <c r="B12" s="3">
        <f>IFERROR(INDEX('Usage Detail'!$B:$B,AGGREGATE(15,6,ROW('Usage Detail'!$A$5:$A$204)/(('Usage Detail'!$B$5:$B$204="Gift")),ROW(A5))),"")</f>
        <v/>
      </c>
      <c r="C12" s="3">
        <f>IFERROR(INDEX('Usage Detail'!$C:$C,AGGREGATE(15,6,ROW('Usage Detail'!$A$5:$A$204)/(('Usage Detail'!$B$5:$B$204="Gift")),ROW(A5))),"")</f>
        <v/>
      </c>
      <c r="D12" s="3">
        <f>IFERROR(INDEX('Usage Detail'!$D:$D,AGGREGATE(15,6,ROW('Usage Detail'!$A$5:$A$204)/(('Usage Detail'!$B$5:$B$204="Gift")),ROW(A5))),"")</f>
        <v/>
      </c>
      <c r="E12" s="4">
        <f>IFERROR(INDEX('Usage Detail'!$E:$E,AGGREGATE(15,6,ROW('Usage Detail'!$A$5:$A$204)/(('Usage Detail'!$B$5:$B$204="Gift")),ROW(A5))),"")</f>
        <v/>
      </c>
      <c r="F12" s="4">
        <f>IFERROR(INDEX('Usage Detail'!$F:$F,AGGREGATE(15,6,ROW('Usage Detail'!$A$5:$A$204)/(('Usage Detail'!$B$5:$B$204="Gift")),ROW(A5))),"")</f>
        <v/>
      </c>
      <c r="G12" s="4">
        <f>IFERROR(INDEX('Usage Detail'!$G:$G,AGGREGATE(15,6,ROW('Usage Detail'!$A$5:$A$204)/(('Usage Detail'!$B$5:$B$204="Gift")),ROW(A5))),"")</f>
        <v/>
      </c>
      <c r="H12" s="4">
        <f>IFERROR(INDEX('Usage Detail'!$H:$H,AGGREGATE(15,6,ROW('Usage Detail'!$A$5:$A$204)/(('Usage Detail'!$B$5:$B$204="Gift")),ROW(A5))),"")</f>
        <v/>
      </c>
    </row>
    <row r="13">
      <c r="A13" s="3">
        <f>IFERROR(INDEX('Usage Detail'!$A:$A,AGGREGATE(15,6,ROW('Usage Detail'!$A$5:$A$204)/(('Usage Detail'!$B$5:$B$204="Gift")),ROW(A6))),"")</f>
        <v/>
      </c>
      <c r="B13" s="3">
        <f>IFERROR(INDEX('Usage Detail'!$B:$B,AGGREGATE(15,6,ROW('Usage Detail'!$A$5:$A$204)/(('Usage Detail'!$B$5:$B$204="Gift")),ROW(A6))),"")</f>
        <v/>
      </c>
      <c r="C13" s="3">
        <f>IFERROR(INDEX('Usage Detail'!$C:$C,AGGREGATE(15,6,ROW('Usage Detail'!$A$5:$A$204)/(('Usage Detail'!$B$5:$B$204="Gift")),ROW(A6))),"")</f>
        <v/>
      </c>
      <c r="D13" s="3">
        <f>IFERROR(INDEX('Usage Detail'!$D:$D,AGGREGATE(15,6,ROW('Usage Detail'!$A$5:$A$204)/(('Usage Detail'!$B$5:$B$204="Gift")),ROW(A6))),"")</f>
        <v/>
      </c>
      <c r="E13" s="4">
        <f>IFERROR(INDEX('Usage Detail'!$E:$E,AGGREGATE(15,6,ROW('Usage Detail'!$A$5:$A$204)/(('Usage Detail'!$B$5:$B$204="Gift")),ROW(A6))),"")</f>
        <v/>
      </c>
      <c r="F13" s="4">
        <f>IFERROR(INDEX('Usage Detail'!$F:$F,AGGREGATE(15,6,ROW('Usage Detail'!$A$5:$A$204)/(('Usage Detail'!$B$5:$B$204="Gift")),ROW(A6))),"")</f>
        <v/>
      </c>
      <c r="G13" s="4">
        <f>IFERROR(INDEX('Usage Detail'!$G:$G,AGGREGATE(15,6,ROW('Usage Detail'!$A$5:$A$204)/(('Usage Detail'!$B$5:$B$204="Gift")),ROW(A6))),"")</f>
        <v/>
      </c>
      <c r="H13" s="4">
        <f>IFERROR(INDEX('Usage Detail'!$H:$H,AGGREGATE(15,6,ROW('Usage Detail'!$A$5:$A$204)/(('Usage Detail'!$B$5:$B$204="Gift")),ROW(A6))),"")</f>
        <v/>
      </c>
    </row>
    <row r="14">
      <c r="A14" s="3">
        <f>IFERROR(INDEX('Usage Detail'!$A:$A,AGGREGATE(15,6,ROW('Usage Detail'!$A$5:$A$204)/(('Usage Detail'!$B$5:$B$204="Gift")),ROW(A7))),"")</f>
        <v/>
      </c>
      <c r="B14" s="3">
        <f>IFERROR(INDEX('Usage Detail'!$B:$B,AGGREGATE(15,6,ROW('Usage Detail'!$A$5:$A$204)/(('Usage Detail'!$B$5:$B$204="Gift")),ROW(A7))),"")</f>
        <v/>
      </c>
      <c r="C14" s="3">
        <f>IFERROR(INDEX('Usage Detail'!$C:$C,AGGREGATE(15,6,ROW('Usage Detail'!$A$5:$A$204)/(('Usage Detail'!$B$5:$B$204="Gift")),ROW(A7))),"")</f>
        <v/>
      </c>
      <c r="D14" s="3">
        <f>IFERROR(INDEX('Usage Detail'!$D:$D,AGGREGATE(15,6,ROW('Usage Detail'!$A$5:$A$204)/(('Usage Detail'!$B$5:$B$204="Gift")),ROW(A7))),"")</f>
        <v/>
      </c>
      <c r="E14" s="4">
        <f>IFERROR(INDEX('Usage Detail'!$E:$E,AGGREGATE(15,6,ROW('Usage Detail'!$A$5:$A$204)/(('Usage Detail'!$B$5:$B$204="Gift")),ROW(A7))),"")</f>
        <v/>
      </c>
      <c r="F14" s="4">
        <f>IFERROR(INDEX('Usage Detail'!$F:$F,AGGREGATE(15,6,ROW('Usage Detail'!$A$5:$A$204)/(('Usage Detail'!$B$5:$B$204="Gift")),ROW(A7))),"")</f>
        <v/>
      </c>
      <c r="G14" s="4">
        <f>IFERROR(INDEX('Usage Detail'!$G:$G,AGGREGATE(15,6,ROW('Usage Detail'!$A$5:$A$204)/(('Usage Detail'!$B$5:$B$204="Gift")),ROW(A7))),"")</f>
        <v/>
      </c>
      <c r="H14" s="4">
        <f>IFERROR(INDEX('Usage Detail'!$H:$H,AGGREGATE(15,6,ROW('Usage Detail'!$A$5:$A$204)/(('Usage Detail'!$B$5:$B$204="Gift")),ROW(A7))),"")</f>
        <v/>
      </c>
    </row>
    <row r="15">
      <c r="A15" s="3">
        <f>IFERROR(INDEX('Usage Detail'!$A:$A,AGGREGATE(15,6,ROW('Usage Detail'!$A$5:$A$204)/(('Usage Detail'!$B$5:$B$204="Gift")),ROW(A8))),"")</f>
        <v/>
      </c>
      <c r="B15" s="3">
        <f>IFERROR(INDEX('Usage Detail'!$B:$B,AGGREGATE(15,6,ROW('Usage Detail'!$A$5:$A$204)/(('Usage Detail'!$B$5:$B$204="Gift")),ROW(A8))),"")</f>
        <v/>
      </c>
      <c r="C15" s="3">
        <f>IFERROR(INDEX('Usage Detail'!$C:$C,AGGREGATE(15,6,ROW('Usage Detail'!$A$5:$A$204)/(('Usage Detail'!$B$5:$B$204="Gift")),ROW(A8))),"")</f>
        <v/>
      </c>
      <c r="D15" s="3">
        <f>IFERROR(INDEX('Usage Detail'!$D:$D,AGGREGATE(15,6,ROW('Usage Detail'!$A$5:$A$204)/(('Usage Detail'!$B$5:$B$204="Gift")),ROW(A8))),"")</f>
        <v/>
      </c>
      <c r="E15" s="4">
        <f>IFERROR(INDEX('Usage Detail'!$E:$E,AGGREGATE(15,6,ROW('Usage Detail'!$A$5:$A$204)/(('Usage Detail'!$B$5:$B$204="Gift")),ROW(A8))),"")</f>
        <v/>
      </c>
      <c r="F15" s="4">
        <f>IFERROR(INDEX('Usage Detail'!$F:$F,AGGREGATE(15,6,ROW('Usage Detail'!$A$5:$A$204)/(('Usage Detail'!$B$5:$B$204="Gift")),ROW(A8))),"")</f>
        <v/>
      </c>
      <c r="G15" s="4">
        <f>IFERROR(INDEX('Usage Detail'!$G:$G,AGGREGATE(15,6,ROW('Usage Detail'!$A$5:$A$204)/(('Usage Detail'!$B$5:$B$204="Gift")),ROW(A8))),"")</f>
        <v/>
      </c>
      <c r="H15" s="4">
        <f>IFERROR(INDEX('Usage Detail'!$H:$H,AGGREGATE(15,6,ROW('Usage Detail'!$A$5:$A$204)/(('Usage Detail'!$B$5:$B$204="Gift")),ROW(A8))),"")</f>
        <v/>
      </c>
    </row>
    <row r="16">
      <c r="A16" s="3">
        <f>IFERROR(INDEX('Usage Detail'!$A:$A,AGGREGATE(15,6,ROW('Usage Detail'!$A$5:$A$204)/(('Usage Detail'!$B$5:$B$204="Gift")),ROW(A9))),"")</f>
        <v/>
      </c>
      <c r="B16" s="3">
        <f>IFERROR(INDEX('Usage Detail'!$B:$B,AGGREGATE(15,6,ROW('Usage Detail'!$A$5:$A$204)/(('Usage Detail'!$B$5:$B$204="Gift")),ROW(A9))),"")</f>
        <v/>
      </c>
      <c r="C16" s="3">
        <f>IFERROR(INDEX('Usage Detail'!$C:$C,AGGREGATE(15,6,ROW('Usage Detail'!$A$5:$A$204)/(('Usage Detail'!$B$5:$B$204="Gift")),ROW(A9))),"")</f>
        <v/>
      </c>
      <c r="D16" s="3">
        <f>IFERROR(INDEX('Usage Detail'!$D:$D,AGGREGATE(15,6,ROW('Usage Detail'!$A$5:$A$204)/(('Usage Detail'!$B$5:$B$204="Gift")),ROW(A9))),"")</f>
        <v/>
      </c>
      <c r="E16" s="4">
        <f>IFERROR(INDEX('Usage Detail'!$E:$E,AGGREGATE(15,6,ROW('Usage Detail'!$A$5:$A$204)/(('Usage Detail'!$B$5:$B$204="Gift")),ROW(A9))),"")</f>
        <v/>
      </c>
      <c r="F16" s="4">
        <f>IFERROR(INDEX('Usage Detail'!$F:$F,AGGREGATE(15,6,ROW('Usage Detail'!$A$5:$A$204)/(('Usage Detail'!$B$5:$B$204="Gift")),ROW(A9))),"")</f>
        <v/>
      </c>
      <c r="G16" s="4">
        <f>IFERROR(INDEX('Usage Detail'!$G:$G,AGGREGATE(15,6,ROW('Usage Detail'!$A$5:$A$204)/(('Usage Detail'!$B$5:$B$204="Gift")),ROW(A9))),"")</f>
        <v/>
      </c>
      <c r="H16" s="4">
        <f>IFERROR(INDEX('Usage Detail'!$H:$H,AGGREGATE(15,6,ROW('Usage Detail'!$A$5:$A$204)/(('Usage Detail'!$B$5:$B$204="Gift")),ROW(A9))),"")</f>
        <v/>
      </c>
    </row>
    <row r="17">
      <c r="A17" s="3">
        <f>IFERROR(INDEX('Usage Detail'!$A:$A,AGGREGATE(15,6,ROW('Usage Detail'!$A$5:$A$204)/(('Usage Detail'!$B$5:$B$204="Gift")),ROW(A10))),"")</f>
        <v/>
      </c>
      <c r="B17" s="3">
        <f>IFERROR(INDEX('Usage Detail'!$B:$B,AGGREGATE(15,6,ROW('Usage Detail'!$A$5:$A$204)/(('Usage Detail'!$B$5:$B$204="Gift")),ROW(A10))),"")</f>
        <v/>
      </c>
      <c r="C17" s="3">
        <f>IFERROR(INDEX('Usage Detail'!$C:$C,AGGREGATE(15,6,ROW('Usage Detail'!$A$5:$A$204)/(('Usage Detail'!$B$5:$B$204="Gift")),ROW(A10))),"")</f>
        <v/>
      </c>
      <c r="D17" s="3">
        <f>IFERROR(INDEX('Usage Detail'!$D:$D,AGGREGATE(15,6,ROW('Usage Detail'!$A$5:$A$204)/(('Usage Detail'!$B$5:$B$204="Gift")),ROW(A10))),"")</f>
        <v/>
      </c>
      <c r="E17" s="4">
        <f>IFERROR(INDEX('Usage Detail'!$E:$E,AGGREGATE(15,6,ROW('Usage Detail'!$A$5:$A$204)/(('Usage Detail'!$B$5:$B$204="Gift")),ROW(A10))),"")</f>
        <v/>
      </c>
      <c r="F17" s="4">
        <f>IFERROR(INDEX('Usage Detail'!$F:$F,AGGREGATE(15,6,ROW('Usage Detail'!$A$5:$A$204)/(('Usage Detail'!$B$5:$B$204="Gift")),ROW(A10))),"")</f>
        <v/>
      </c>
      <c r="G17" s="4">
        <f>IFERROR(INDEX('Usage Detail'!$G:$G,AGGREGATE(15,6,ROW('Usage Detail'!$A$5:$A$204)/(('Usage Detail'!$B$5:$B$204="Gift")),ROW(A10))),"")</f>
        <v/>
      </c>
      <c r="H17" s="4">
        <f>IFERROR(INDEX('Usage Detail'!$H:$H,AGGREGATE(15,6,ROW('Usage Detail'!$A$5:$A$204)/(('Usage Detail'!$B$5:$B$204="Gift")),ROW(A10))),"")</f>
        <v/>
      </c>
    </row>
    <row r="18">
      <c r="A18" s="3">
        <f>IFERROR(INDEX('Usage Detail'!$A:$A,AGGREGATE(15,6,ROW('Usage Detail'!$A$5:$A$204)/(('Usage Detail'!$B$5:$B$204="Gift")),ROW(A11))),"")</f>
        <v/>
      </c>
      <c r="B18" s="3">
        <f>IFERROR(INDEX('Usage Detail'!$B:$B,AGGREGATE(15,6,ROW('Usage Detail'!$A$5:$A$204)/(('Usage Detail'!$B$5:$B$204="Gift")),ROW(A11))),"")</f>
        <v/>
      </c>
      <c r="C18" s="3">
        <f>IFERROR(INDEX('Usage Detail'!$C:$C,AGGREGATE(15,6,ROW('Usage Detail'!$A$5:$A$204)/(('Usage Detail'!$B$5:$B$204="Gift")),ROW(A11))),"")</f>
        <v/>
      </c>
      <c r="D18" s="3">
        <f>IFERROR(INDEX('Usage Detail'!$D:$D,AGGREGATE(15,6,ROW('Usage Detail'!$A$5:$A$204)/(('Usage Detail'!$B$5:$B$204="Gift")),ROW(A11))),"")</f>
        <v/>
      </c>
      <c r="E18" s="4">
        <f>IFERROR(INDEX('Usage Detail'!$E:$E,AGGREGATE(15,6,ROW('Usage Detail'!$A$5:$A$204)/(('Usage Detail'!$B$5:$B$204="Gift")),ROW(A11))),"")</f>
        <v/>
      </c>
      <c r="F18" s="4">
        <f>IFERROR(INDEX('Usage Detail'!$F:$F,AGGREGATE(15,6,ROW('Usage Detail'!$A$5:$A$204)/(('Usage Detail'!$B$5:$B$204="Gift")),ROW(A11))),"")</f>
        <v/>
      </c>
      <c r="G18" s="4">
        <f>IFERROR(INDEX('Usage Detail'!$G:$G,AGGREGATE(15,6,ROW('Usage Detail'!$A$5:$A$204)/(('Usage Detail'!$B$5:$B$204="Gift")),ROW(A11))),"")</f>
        <v/>
      </c>
      <c r="H18" s="4">
        <f>IFERROR(INDEX('Usage Detail'!$H:$H,AGGREGATE(15,6,ROW('Usage Detail'!$A$5:$A$204)/(('Usage Detail'!$B$5:$B$204="Gift")),ROW(A11))),"")</f>
        <v/>
      </c>
    </row>
    <row r="19">
      <c r="A19" s="3">
        <f>IFERROR(INDEX('Usage Detail'!$A:$A,AGGREGATE(15,6,ROW('Usage Detail'!$A$5:$A$204)/(('Usage Detail'!$B$5:$B$204="Gift")),ROW(A12))),"")</f>
        <v/>
      </c>
      <c r="B19" s="3">
        <f>IFERROR(INDEX('Usage Detail'!$B:$B,AGGREGATE(15,6,ROW('Usage Detail'!$A$5:$A$204)/(('Usage Detail'!$B$5:$B$204="Gift")),ROW(A12))),"")</f>
        <v/>
      </c>
      <c r="C19" s="3">
        <f>IFERROR(INDEX('Usage Detail'!$C:$C,AGGREGATE(15,6,ROW('Usage Detail'!$A$5:$A$204)/(('Usage Detail'!$B$5:$B$204="Gift")),ROW(A12))),"")</f>
        <v/>
      </c>
      <c r="D19" s="3">
        <f>IFERROR(INDEX('Usage Detail'!$D:$D,AGGREGATE(15,6,ROW('Usage Detail'!$A$5:$A$204)/(('Usage Detail'!$B$5:$B$204="Gift")),ROW(A12))),"")</f>
        <v/>
      </c>
      <c r="E19" s="4">
        <f>IFERROR(INDEX('Usage Detail'!$E:$E,AGGREGATE(15,6,ROW('Usage Detail'!$A$5:$A$204)/(('Usage Detail'!$B$5:$B$204="Gift")),ROW(A12))),"")</f>
        <v/>
      </c>
      <c r="F19" s="4">
        <f>IFERROR(INDEX('Usage Detail'!$F:$F,AGGREGATE(15,6,ROW('Usage Detail'!$A$5:$A$204)/(('Usage Detail'!$B$5:$B$204="Gift")),ROW(A12))),"")</f>
        <v/>
      </c>
      <c r="G19" s="4">
        <f>IFERROR(INDEX('Usage Detail'!$G:$G,AGGREGATE(15,6,ROW('Usage Detail'!$A$5:$A$204)/(('Usage Detail'!$B$5:$B$204="Gift")),ROW(A12))),"")</f>
        <v/>
      </c>
      <c r="H19" s="4">
        <f>IFERROR(INDEX('Usage Detail'!$H:$H,AGGREGATE(15,6,ROW('Usage Detail'!$A$5:$A$204)/(('Usage Detail'!$B$5:$B$204="Gift")),ROW(A12))),"")</f>
        <v/>
      </c>
    </row>
    <row r="20">
      <c r="A20" s="3">
        <f>IFERROR(INDEX('Usage Detail'!$A:$A,AGGREGATE(15,6,ROW('Usage Detail'!$A$5:$A$204)/(('Usage Detail'!$B$5:$B$204="Gift")),ROW(A13))),"")</f>
        <v/>
      </c>
      <c r="B20" s="3">
        <f>IFERROR(INDEX('Usage Detail'!$B:$B,AGGREGATE(15,6,ROW('Usage Detail'!$A$5:$A$204)/(('Usage Detail'!$B$5:$B$204="Gift")),ROW(A13))),"")</f>
        <v/>
      </c>
      <c r="C20" s="3">
        <f>IFERROR(INDEX('Usage Detail'!$C:$C,AGGREGATE(15,6,ROW('Usage Detail'!$A$5:$A$204)/(('Usage Detail'!$B$5:$B$204="Gift")),ROW(A13))),"")</f>
        <v/>
      </c>
      <c r="D20" s="3">
        <f>IFERROR(INDEX('Usage Detail'!$D:$D,AGGREGATE(15,6,ROW('Usage Detail'!$A$5:$A$204)/(('Usage Detail'!$B$5:$B$204="Gift")),ROW(A13))),"")</f>
        <v/>
      </c>
      <c r="E20" s="4">
        <f>IFERROR(INDEX('Usage Detail'!$E:$E,AGGREGATE(15,6,ROW('Usage Detail'!$A$5:$A$204)/(('Usage Detail'!$B$5:$B$204="Gift")),ROW(A13))),"")</f>
        <v/>
      </c>
      <c r="F20" s="4">
        <f>IFERROR(INDEX('Usage Detail'!$F:$F,AGGREGATE(15,6,ROW('Usage Detail'!$A$5:$A$204)/(('Usage Detail'!$B$5:$B$204="Gift")),ROW(A13))),"")</f>
        <v/>
      </c>
      <c r="G20" s="4">
        <f>IFERROR(INDEX('Usage Detail'!$G:$G,AGGREGATE(15,6,ROW('Usage Detail'!$A$5:$A$204)/(('Usage Detail'!$B$5:$B$204="Gift")),ROW(A13))),"")</f>
        <v/>
      </c>
      <c r="H20" s="4">
        <f>IFERROR(INDEX('Usage Detail'!$H:$H,AGGREGATE(15,6,ROW('Usage Detail'!$A$5:$A$204)/(('Usage Detail'!$B$5:$B$204="Gift")),ROW(A13))),"")</f>
        <v/>
      </c>
    </row>
    <row r="21">
      <c r="A21" s="3">
        <f>IFERROR(INDEX('Usage Detail'!$A:$A,AGGREGATE(15,6,ROW('Usage Detail'!$A$5:$A$204)/(('Usage Detail'!$B$5:$B$204="Gift")),ROW(A14))),"")</f>
        <v/>
      </c>
      <c r="B21" s="3">
        <f>IFERROR(INDEX('Usage Detail'!$B:$B,AGGREGATE(15,6,ROW('Usage Detail'!$A$5:$A$204)/(('Usage Detail'!$B$5:$B$204="Gift")),ROW(A14))),"")</f>
        <v/>
      </c>
      <c r="C21" s="3">
        <f>IFERROR(INDEX('Usage Detail'!$C:$C,AGGREGATE(15,6,ROW('Usage Detail'!$A$5:$A$204)/(('Usage Detail'!$B$5:$B$204="Gift")),ROW(A14))),"")</f>
        <v/>
      </c>
      <c r="D21" s="3">
        <f>IFERROR(INDEX('Usage Detail'!$D:$D,AGGREGATE(15,6,ROW('Usage Detail'!$A$5:$A$204)/(('Usage Detail'!$B$5:$B$204="Gift")),ROW(A14))),"")</f>
        <v/>
      </c>
      <c r="E21" s="4">
        <f>IFERROR(INDEX('Usage Detail'!$E:$E,AGGREGATE(15,6,ROW('Usage Detail'!$A$5:$A$204)/(('Usage Detail'!$B$5:$B$204="Gift")),ROW(A14))),"")</f>
        <v/>
      </c>
      <c r="F21" s="4">
        <f>IFERROR(INDEX('Usage Detail'!$F:$F,AGGREGATE(15,6,ROW('Usage Detail'!$A$5:$A$204)/(('Usage Detail'!$B$5:$B$204="Gift")),ROW(A14))),"")</f>
        <v/>
      </c>
      <c r="G21" s="4">
        <f>IFERROR(INDEX('Usage Detail'!$G:$G,AGGREGATE(15,6,ROW('Usage Detail'!$A$5:$A$204)/(('Usage Detail'!$B$5:$B$204="Gift")),ROW(A14))),"")</f>
        <v/>
      </c>
      <c r="H21" s="4">
        <f>IFERROR(INDEX('Usage Detail'!$H:$H,AGGREGATE(15,6,ROW('Usage Detail'!$A$5:$A$204)/(('Usage Detail'!$B$5:$B$204="Gift")),ROW(A14))),"")</f>
        <v/>
      </c>
    </row>
    <row r="22">
      <c r="A22" s="3">
        <f>IFERROR(INDEX('Usage Detail'!$A:$A,AGGREGATE(15,6,ROW('Usage Detail'!$A$5:$A$204)/(('Usage Detail'!$B$5:$B$204="Gift")),ROW(A15))),"")</f>
        <v/>
      </c>
      <c r="B22" s="3">
        <f>IFERROR(INDEX('Usage Detail'!$B:$B,AGGREGATE(15,6,ROW('Usage Detail'!$A$5:$A$204)/(('Usage Detail'!$B$5:$B$204="Gift")),ROW(A15))),"")</f>
        <v/>
      </c>
      <c r="C22" s="3">
        <f>IFERROR(INDEX('Usage Detail'!$C:$C,AGGREGATE(15,6,ROW('Usage Detail'!$A$5:$A$204)/(('Usage Detail'!$B$5:$B$204="Gift")),ROW(A15))),"")</f>
        <v/>
      </c>
      <c r="D22" s="3">
        <f>IFERROR(INDEX('Usage Detail'!$D:$D,AGGREGATE(15,6,ROW('Usage Detail'!$A$5:$A$204)/(('Usage Detail'!$B$5:$B$204="Gift")),ROW(A15))),"")</f>
        <v/>
      </c>
      <c r="E22" s="4">
        <f>IFERROR(INDEX('Usage Detail'!$E:$E,AGGREGATE(15,6,ROW('Usage Detail'!$A$5:$A$204)/(('Usage Detail'!$B$5:$B$204="Gift")),ROW(A15))),"")</f>
        <v/>
      </c>
      <c r="F22" s="4">
        <f>IFERROR(INDEX('Usage Detail'!$F:$F,AGGREGATE(15,6,ROW('Usage Detail'!$A$5:$A$204)/(('Usage Detail'!$B$5:$B$204="Gift")),ROW(A15))),"")</f>
        <v/>
      </c>
      <c r="G22" s="4">
        <f>IFERROR(INDEX('Usage Detail'!$G:$G,AGGREGATE(15,6,ROW('Usage Detail'!$A$5:$A$204)/(('Usage Detail'!$B$5:$B$204="Gift")),ROW(A15))),"")</f>
        <v/>
      </c>
      <c r="H22" s="4">
        <f>IFERROR(INDEX('Usage Detail'!$H:$H,AGGREGATE(15,6,ROW('Usage Detail'!$A$5:$A$204)/(('Usage Detail'!$B$5:$B$204="Gift")),ROW(A15))),"")</f>
        <v/>
      </c>
    </row>
    <row r="23">
      <c r="A23" s="3">
        <f>IFERROR(INDEX('Usage Detail'!$A:$A,AGGREGATE(15,6,ROW('Usage Detail'!$A$5:$A$204)/(('Usage Detail'!$B$5:$B$204="Gift")),ROW(A16))),"")</f>
        <v/>
      </c>
      <c r="B23" s="3">
        <f>IFERROR(INDEX('Usage Detail'!$B:$B,AGGREGATE(15,6,ROW('Usage Detail'!$A$5:$A$204)/(('Usage Detail'!$B$5:$B$204="Gift")),ROW(A16))),"")</f>
        <v/>
      </c>
      <c r="C23" s="3">
        <f>IFERROR(INDEX('Usage Detail'!$C:$C,AGGREGATE(15,6,ROW('Usage Detail'!$A$5:$A$204)/(('Usage Detail'!$B$5:$B$204="Gift")),ROW(A16))),"")</f>
        <v/>
      </c>
      <c r="D23" s="3">
        <f>IFERROR(INDEX('Usage Detail'!$D:$D,AGGREGATE(15,6,ROW('Usage Detail'!$A$5:$A$204)/(('Usage Detail'!$B$5:$B$204="Gift")),ROW(A16))),"")</f>
        <v/>
      </c>
      <c r="E23" s="4">
        <f>IFERROR(INDEX('Usage Detail'!$E:$E,AGGREGATE(15,6,ROW('Usage Detail'!$A$5:$A$204)/(('Usage Detail'!$B$5:$B$204="Gift")),ROW(A16))),"")</f>
        <v/>
      </c>
      <c r="F23" s="4">
        <f>IFERROR(INDEX('Usage Detail'!$F:$F,AGGREGATE(15,6,ROW('Usage Detail'!$A$5:$A$204)/(('Usage Detail'!$B$5:$B$204="Gift")),ROW(A16))),"")</f>
        <v/>
      </c>
      <c r="G23" s="4">
        <f>IFERROR(INDEX('Usage Detail'!$G:$G,AGGREGATE(15,6,ROW('Usage Detail'!$A$5:$A$204)/(('Usage Detail'!$B$5:$B$204="Gift")),ROW(A16))),"")</f>
        <v/>
      </c>
      <c r="H23" s="4">
        <f>IFERROR(INDEX('Usage Detail'!$H:$H,AGGREGATE(15,6,ROW('Usage Detail'!$A$5:$A$204)/(('Usage Detail'!$B$5:$B$204="Gift")),ROW(A16))),"")</f>
        <v/>
      </c>
    </row>
    <row r="24">
      <c r="A24" s="3">
        <f>IFERROR(INDEX('Usage Detail'!$A:$A,AGGREGATE(15,6,ROW('Usage Detail'!$A$5:$A$204)/(('Usage Detail'!$B$5:$B$204="Gift")),ROW(A17))),"")</f>
        <v/>
      </c>
      <c r="B24" s="3">
        <f>IFERROR(INDEX('Usage Detail'!$B:$B,AGGREGATE(15,6,ROW('Usage Detail'!$A$5:$A$204)/(('Usage Detail'!$B$5:$B$204="Gift")),ROW(A17))),"")</f>
        <v/>
      </c>
      <c r="C24" s="3">
        <f>IFERROR(INDEX('Usage Detail'!$C:$C,AGGREGATE(15,6,ROW('Usage Detail'!$A$5:$A$204)/(('Usage Detail'!$B$5:$B$204="Gift")),ROW(A17))),"")</f>
        <v/>
      </c>
      <c r="D24" s="3">
        <f>IFERROR(INDEX('Usage Detail'!$D:$D,AGGREGATE(15,6,ROW('Usage Detail'!$A$5:$A$204)/(('Usage Detail'!$B$5:$B$204="Gift")),ROW(A17))),"")</f>
        <v/>
      </c>
      <c r="E24" s="4">
        <f>IFERROR(INDEX('Usage Detail'!$E:$E,AGGREGATE(15,6,ROW('Usage Detail'!$A$5:$A$204)/(('Usage Detail'!$B$5:$B$204="Gift")),ROW(A17))),"")</f>
        <v/>
      </c>
      <c r="F24" s="4">
        <f>IFERROR(INDEX('Usage Detail'!$F:$F,AGGREGATE(15,6,ROW('Usage Detail'!$A$5:$A$204)/(('Usage Detail'!$B$5:$B$204="Gift")),ROW(A17))),"")</f>
        <v/>
      </c>
      <c r="G24" s="4">
        <f>IFERROR(INDEX('Usage Detail'!$G:$G,AGGREGATE(15,6,ROW('Usage Detail'!$A$5:$A$204)/(('Usage Detail'!$B$5:$B$204="Gift")),ROW(A17))),"")</f>
        <v/>
      </c>
      <c r="H24" s="4">
        <f>IFERROR(INDEX('Usage Detail'!$H:$H,AGGREGATE(15,6,ROW('Usage Detail'!$A$5:$A$204)/(('Usage Detail'!$B$5:$B$204="Gift")),ROW(A17))),"")</f>
        <v/>
      </c>
    </row>
    <row r="25">
      <c r="A25" s="3">
        <f>IFERROR(INDEX('Usage Detail'!$A:$A,AGGREGATE(15,6,ROW('Usage Detail'!$A$5:$A$204)/(('Usage Detail'!$B$5:$B$204="Gift")),ROW(A18))),"")</f>
        <v/>
      </c>
      <c r="B25" s="3">
        <f>IFERROR(INDEX('Usage Detail'!$B:$B,AGGREGATE(15,6,ROW('Usage Detail'!$A$5:$A$204)/(('Usage Detail'!$B$5:$B$204="Gift")),ROW(A18))),"")</f>
        <v/>
      </c>
      <c r="C25" s="3">
        <f>IFERROR(INDEX('Usage Detail'!$C:$C,AGGREGATE(15,6,ROW('Usage Detail'!$A$5:$A$204)/(('Usage Detail'!$B$5:$B$204="Gift")),ROW(A18))),"")</f>
        <v/>
      </c>
      <c r="D25" s="3">
        <f>IFERROR(INDEX('Usage Detail'!$D:$D,AGGREGATE(15,6,ROW('Usage Detail'!$A$5:$A$204)/(('Usage Detail'!$B$5:$B$204="Gift")),ROW(A18))),"")</f>
        <v/>
      </c>
      <c r="E25" s="4">
        <f>IFERROR(INDEX('Usage Detail'!$E:$E,AGGREGATE(15,6,ROW('Usage Detail'!$A$5:$A$204)/(('Usage Detail'!$B$5:$B$204="Gift")),ROW(A18))),"")</f>
        <v/>
      </c>
      <c r="F25" s="4">
        <f>IFERROR(INDEX('Usage Detail'!$F:$F,AGGREGATE(15,6,ROW('Usage Detail'!$A$5:$A$204)/(('Usage Detail'!$B$5:$B$204="Gift")),ROW(A18))),"")</f>
        <v/>
      </c>
      <c r="G25" s="4">
        <f>IFERROR(INDEX('Usage Detail'!$G:$G,AGGREGATE(15,6,ROW('Usage Detail'!$A$5:$A$204)/(('Usage Detail'!$B$5:$B$204="Gift")),ROW(A18))),"")</f>
        <v/>
      </c>
      <c r="H25" s="4">
        <f>IFERROR(INDEX('Usage Detail'!$H:$H,AGGREGATE(15,6,ROW('Usage Detail'!$A$5:$A$204)/(('Usage Detail'!$B$5:$B$204="Gift")),ROW(A18))),"")</f>
        <v/>
      </c>
    </row>
    <row r="26">
      <c r="A26" s="3">
        <f>IFERROR(INDEX('Usage Detail'!$A:$A,AGGREGATE(15,6,ROW('Usage Detail'!$A$5:$A$204)/(('Usage Detail'!$B$5:$B$204="Gift")),ROW(A19))),"")</f>
        <v/>
      </c>
      <c r="B26" s="3">
        <f>IFERROR(INDEX('Usage Detail'!$B:$B,AGGREGATE(15,6,ROW('Usage Detail'!$A$5:$A$204)/(('Usage Detail'!$B$5:$B$204="Gift")),ROW(A19))),"")</f>
        <v/>
      </c>
      <c r="C26" s="3">
        <f>IFERROR(INDEX('Usage Detail'!$C:$C,AGGREGATE(15,6,ROW('Usage Detail'!$A$5:$A$204)/(('Usage Detail'!$B$5:$B$204="Gift")),ROW(A19))),"")</f>
        <v/>
      </c>
      <c r="D26" s="3">
        <f>IFERROR(INDEX('Usage Detail'!$D:$D,AGGREGATE(15,6,ROW('Usage Detail'!$A$5:$A$204)/(('Usage Detail'!$B$5:$B$204="Gift")),ROW(A19))),"")</f>
        <v/>
      </c>
      <c r="E26" s="4">
        <f>IFERROR(INDEX('Usage Detail'!$E:$E,AGGREGATE(15,6,ROW('Usage Detail'!$A$5:$A$204)/(('Usage Detail'!$B$5:$B$204="Gift")),ROW(A19))),"")</f>
        <v/>
      </c>
      <c r="F26" s="4">
        <f>IFERROR(INDEX('Usage Detail'!$F:$F,AGGREGATE(15,6,ROW('Usage Detail'!$A$5:$A$204)/(('Usage Detail'!$B$5:$B$204="Gift")),ROW(A19))),"")</f>
        <v/>
      </c>
      <c r="G26" s="4">
        <f>IFERROR(INDEX('Usage Detail'!$G:$G,AGGREGATE(15,6,ROW('Usage Detail'!$A$5:$A$204)/(('Usage Detail'!$B$5:$B$204="Gift")),ROW(A19))),"")</f>
        <v/>
      </c>
      <c r="H26" s="4">
        <f>IFERROR(INDEX('Usage Detail'!$H:$H,AGGREGATE(15,6,ROW('Usage Detail'!$A$5:$A$204)/(('Usage Detail'!$B$5:$B$204="Gift")),ROW(A19))),"")</f>
        <v/>
      </c>
    </row>
    <row r="27">
      <c r="A27" s="3">
        <f>IFERROR(INDEX('Usage Detail'!$A:$A,AGGREGATE(15,6,ROW('Usage Detail'!$A$5:$A$204)/(('Usage Detail'!$B$5:$B$204="Gift")),ROW(A20))),"")</f>
        <v/>
      </c>
      <c r="B27" s="3">
        <f>IFERROR(INDEX('Usage Detail'!$B:$B,AGGREGATE(15,6,ROW('Usage Detail'!$A$5:$A$204)/(('Usage Detail'!$B$5:$B$204="Gift")),ROW(A20))),"")</f>
        <v/>
      </c>
      <c r="C27" s="3">
        <f>IFERROR(INDEX('Usage Detail'!$C:$C,AGGREGATE(15,6,ROW('Usage Detail'!$A$5:$A$204)/(('Usage Detail'!$B$5:$B$204="Gift")),ROW(A20))),"")</f>
        <v/>
      </c>
      <c r="D27" s="3">
        <f>IFERROR(INDEX('Usage Detail'!$D:$D,AGGREGATE(15,6,ROW('Usage Detail'!$A$5:$A$204)/(('Usage Detail'!$B$5:$B$204="Gift")),ROW(A20))),"")</f>
        <v/>
      </c>
      <c r="E27" s="4">
        <f>IFERROR(INDEX('Usage Detail'!$E:$E,AGGREGATE(15,6,ROW('Usage Detail'!$A$5:$A$204)/(('Usage Detail'!$B$5:$B$204="Gift")),ROW(A20))),"")</f>
        <v/>
      </c>
      <c r="F27" s="4">
        <f>IFERROR(INDEX('Usage Detail'!$F:$F,AGGREGATE(15,6,ROW('Usage Detail'!$A$5:$A$204)/(('Usage Detail'!$B$5:$B$204="Gift")),ROW(A20))),"")</f>
        <v/>
      </c>
      <c r="G27" s="4">
        <f>IFERROR(INDEX('Usage Detail'!$G:$G,AGGREGATE(15,6,ROW('Usage Detail'!$A$5:$A$204)/(('Usage Detail'!$B$5:$B$204="Gift")),ROW(A20))),"")</f>
        <v/>
      </c>
      <c r="H27" s="4">
        <f>IFERROR(INDEX('Usage Detail'!$H:$H,AGGREGATE(15,6,ROW('Usage Detail'!$A$5:$A$204)/(('Usage Detail'!$B$5:$B$204="Gift")),ROW(A20))),"")</f>
        <v/>
      </c>
    </row>
    <row r="28">
      <c r="A28" s="3">
        <f>IFERROR(INDEX('Usage Detail'!$A:$A,AGGREGATE(15,6,ROW('Usage Detail'!$A$5:$A$204)/(('Usage Detail'!$B$5:$B$204="Gift")),ROW(A21))),"")</f>
        <v/>
      </c>
      <c r="B28" s="3">
        <f>IFERROR(INDEX('Usage Detail'!$B:$B,AGGREGATE(15,6,ROW('Usage Detail'!$A$5:$A$204)/(('Usage Detail'!$B$5:$B$204="Gift")),ROW(A21))),"")</f>
        <v/>
      </c>
      <c r="C28" s="3">
        <f>IFERROR(INDEX('Usage Detail'!$C:$C,AGGREGATE(15,6,ROW('Usage Detail'!$A$5:$A$204)/(('Usage Detail'!$B$5:$B$204="Gift")),ROW(A21))),"")</f>
        <v/>
      </c>
      <c r="D28" s="3">
        <f>IFERROR(INDEX('Usage Detail'!$D:$D,AGGREGATE(15,6,ROW('Usage Detail'!$A$5:$A$204)/(('Usage Detail'!$B$5:$B$204="Gift")),ROW(A21))),"")</f>
        <v/>
      </c>
      <c r="E28" s="4">
        <f>IFERROR(INDEX('Usage Detail'!$E:$E,AGGREGATE(15,6,ROW('Usage Detail'!$A$5:$A$204)/(('Usage Detail'!$B$5:$B$204="Gift")),ROW(A21))),"")</f>
        <v/>
      </c>
      <c r="F28" s="4">
        <f>IFERROR(INDEX('Usage Detail'!$F:$F,AGGREGATE(15,6,ROW('Usage Detail'!$A$5:$A$204)/(('Usage Detail'!$B$5:$B$204="Gift")),ROW(A21))),"")</f>
        <v/>
      </c>
      <c r="G28" s="4">
        <f>IFERROR(INDEX('Usage Detail'!$G:$G,AGGREGATE(15,6,ROW('Usage Detail'!$A$5:$A$204)/(('Usage Detail'!$B$5:$B$204="Gift")),ROW(A21))),"")</f>
        <v/>
      </c>
      <c r="H28" s="4">
        <f>IFERROR(INDEX('Usage Detail'!$H:$H,AGGREGATE(15,6,ROW('Usage Detail'!$A$5:$A$204)/(('Usage Detail'!$B$5:$B$204="Gift")),ROW(A21))),"")</f>
        <v/>
      </c>
    </row>
    <row r="29">
      <c r="A29" s="3">
        <f>IFERROR(INDEX('Usage Detail'!$A:$A,AGGREGATE(15,6,ROW('Usage Detail'!$A$5:$A$204)/(('Usage Detail'!$B$5:$B$204="Gift")),ROW(A22))),"")</f>
        <v/>
      </c>
      <c r="B29" s="3">
        <f>IFERROR(INDEX('Usage Detail'!$B:$B,AGGREGATE(15,6,ROW('Usage Detail'!$A$5:$A$204)/(('Usage Detail'!$B$5:$B$204="Gift")),ROW(A22))),"")</f>
        <v/>
      </c>
      <c r="C29" s="3">
        <f>IFERROR(INDEX('Usage Detail'!$C:$C,AGGREGATE(15,6,ROW('Usage Detail'!$A$5:$A$204)/(('Usage Detail'!$B$5:$B$204="Gift")),ROW(A22))),"")</f>
        <v/>
      </c>
      <c r="D29" s="3">
        <f>IFERROR(INDEX('Usage Detail'!$D:$D,AGGREGATE(15,6,ROW('Usage Detail'!$A$5:$A$204)/(('Usage Detail'!$B$5:$B$204="Gift")),ROW(A22))),"")</f>
        <v/>
      </c>
      <c r="E29" s="4">
        <f>IFERROR(INDEX('Usage Detail'!$E:$E,AGGREGATE(15,6,ROW('Usage Detail'!$A$5:$A$204)/(('Usage Detail'!$B$5:$B$204="Gift")),ROW(A22))),"")</f>
        <v/>
      </c>
      <c r="F29" s="4">
        <f>IFERROR(INDEX('Usage Detail'!$F:$F,AGGREGATE(15,6,ROW('Usage Detail'!$A$5:$A$204)/(('Usage Detail'!$B$5:$B$204="Gift")),ROW(A22))),"")</f>
        <v/>
      </c>
      <c r="G29" s="4">
        <f>IFERROR(INDEX('Usage Detail'!$G:$G,AGGREGATE(15,6,ROW('Usage Detail'!$A$5:$A$204)/(('Usage Detail'!$B$5:$B$204="Gift")),ROW(A22))),"")</f>
        <v/>
      </c>
      <c r="H29" s="4">
        <f>IFERROR(INDEX('Usage Detail'!$H:$H,AGGREGATE(15,6,ROW('Usage Detail'!$A$5:$A$204)/(('Usage Detail'!$B$5:$B$204="Gift")),ROW(A22))),"")</f>
        <v/>
      </c>
    </row>
    <row r="30">
      <c r="A30" s="3">
        <f>IFERROR(INDEX('Usage Detail'!$A:$A,AGGREGATE(15,6,ROW('Usage Detail'!$A$5:$A$204)/(('Usage Detail'!$B$5:$B$204="Gift")),ROW(A23))),"")</f>
        <v/>
      </c>
      <c r="B30" s="3">
        <f>IFERROR(INDEX('Usage Detail'!$B:$B,AGGREGATE(15,6,ROW('Usage Detail'!$A$5:$A$204)/(('Usage Detail'!$B$5:$B$204="Gift")),ROW(A23))),"")</f>
        <v/>
      </c>
      <c r="C30" s="3">
        <f>IFERROR(INDEX('Usage Detail'!$C:$C,AGGREGATE(15,6,ROW('Usage Detail'!$A$5:$A$204)/(('Usage Detail'!$B$5:$B$204="Gift")),ROW(A23))),"")</f>
        <v/>
      </c>
      <c r="D30" s="3">
        <f>IFERROR(INDEX('Usage Detail'!$D:$D,AGGREGATE(15,6,ROW('Usage Detail'!$A$5:$A$204)/(('Usage Detail'!$B$5:$B$204="Gift")),ROW(A23))),"")</f>
        <v/>
      </c>
      <c r="E30" s="4">
        <f>IFERROR(INDEX('Usage Detail'!$E:$E,AGGREGATE(15,6,ROW('Usage Detail'!$A$5:$A$204)/(('Usage Detail'!$B$5:$B$204="Gift")),ROW(A23))),"")</f>
        <v/>
      </c>
      <c r="F30" s="4">
        <f>IFERROR(INDEX('Usage Detail'!$F:$F,AGGREGATE(15,6,ROW('Usage Detail'!$A$5:$A$204)/(('Usage Detail'!$B$5:$B$204="Gift")),ROW(A23))),"")</f>
        <v/>
      </c>
      <c r="G30" s="4">
        <f>IFERROR(INDEX('Usage Detail'!$G:$G,AGGREGATE(15,6,ROW('Usage Detail'!$A$5:$A$204)/(('Usage Detail'!$B$5:$B$204="Gift")),ROW(A23))),"")</f>
        <v/>
      </c>
      <c r="H30" s="4">
        <f>IFERROR(INDEX('Usage Detail'!$H:$H,AGGREGATE(15,6,ROW('Usage Detail'!$A$5:$A$204)/(('Usage Detail'!$B$5:$B$204="Gift")),ROW(A23))),"")</f>
        <v/>
      </c>
    </row>
    <row r="31">
      <c r="A31" s="3">
        <f>IFERROR(INDEX('Usage Detail'!$A:$A,AGGREGATE(15,6,ROW('Usage Detail'!$A$5:$A$204)/(('Usage Detail'!$B$5:$B$204="Gift")),ROW(A24))),"")</f>
        <v/>
      </c>
      <c r="B31" s="3">
        <f>IFERROR(INDEX('Usage Detail'!$B:$B,AGGREGATE(15,6,ROW('Usage Detail'!$A$5:$A$204)/(('Usage Detail'!$B$5:$B$204="Gift")),ROW(A24))),"")</f>
        <v/>
      </c>
      <c r="C31" s="3">
        <f>IFERROR(INDEX('Usage Detail'!$C:$C,AGGREGATE(15,6,ROW('Usage Detail'!$A$5:$A$204)/(('Usage Detail'!$B$5:$B$204="Gift")),ROW(A24))),"")</f>
        <v/>
      </c>
      <c r="D31" s="3">
        <f>IFERROR(INDEX('Usage Detail'!$D:$D,AGGREGATE(15,6,ROW('Usage Detail'!$A$5:$A$204)/(('Usage Detail'!$B$5:$B$204="Gift")),ROW(A24))),"")</f>
        <v/>
      </c>
      <c r="E31" s="4">
        <f>IFERROR(INDEX('Usage Detail'!$E:$E,AGGREGATE(15,6,ROW('Usage Detail'!$A$5:$A$204)/(('Usage Detail'!$B$5:$B$204="Gift")),ROW(A24))),"")</f>
        <v/>
      </c>
      <c r="F31" s="4">
        <f>IFERROR(INDEX('Usage Detail'!$F:$F,AGGREGATE(15,6,ROW('Usage Detail'!$A$5:$A$204)/(('Usage Detail'!$B$5:$B$204="Gift")),ROW(A24))),"")</f>
        <v/>
      </c>
      <c r="G31" s="4">
        <f>IFERROR(INDEX('Usage Detail'!$G:$G,AGGREGATE(15,6,ROW('Usage Detail'!$A$5:$A$204)/(('Usage Detail'!$B$5:$B$204="Gift")),ROW(A24))),"")</f>
        <v/>
      </c>
      <c r="H31" s="4">
        <f>IFERROR(INDEX('Usage Detail'!$H:$H,AGGREGATE(15,6,ROW('Usage Detail'!$A$5:$A$204)/(('Usage Detail'!$B$5:$B$204="Gift")),ROW(A24))),"")</f>
        <v/>
      </c>
    </row>
    <row r="32">
      <c r="A32" s="3">
        <f>IFERROR(INDEX('Usage Detail'!$A:$A,AGGREGATE(15,6,ROW('Usage Detail'!$A$5:$A$204)/(('Usage Detail'!$B$5:$B$204="Gift")),ROW(A25))),"")</f>
        <v/>
      </c>
      <c r="B32" s="3">
        <f>IFERROR(INDEX('Usage Detail'!$B:$B,AGGREGATE(15,6,ROW('Usage Detail'!$A$5:$A$204)/(('Usage Detail'!$B$5:$B$204="Gift")),ROW(A25))),"")</f>
        <v/>
      </c>
      <c r="C32" s="3">
        <f>IFERROR(INDEX('Usage Detail'!$C:$C,AGGREGATE(15,6,ROW('Usage Detail'!$A$5:$A$204)/(('Usage Detail'!$B$5:$B$204="Gift")),ROW(A25))),"")</f>
        <v/>
      </c>
      <c r="D32" s="3">
        <f>IFERROR(INDEX('Usage Detail'!$D:$D,AGGREGATE(15,6,ROW('Usage Detail'!$A$5:$A$204)/(('Usage Detail'!$B$5:$B$204="Gift")),ROW(A25))),"")</f>
        <v/>
      </c>
      <c r="E32" s="4">
        <f>IFERROR(INDEX('Usage Detail'!$E:$E,AGGREGATE(15,6,ROW('Usage Detail'!$A$5:$A$204)/(('Usage Detail'!$B$5:$B$204="Gift")),ROW(A25))),"")</f>
        <v/>
      </c>
      <c r="F32" s="4">
        <f>IFERROR(INDEX('Usage Detail'!$F:$F,AGGREGATE(15,6,ROW('Usage Detail'!$A$5:$A$204)/(('Usage Detail'!$B$5:$B$204="Gift")),ROW(A25))),"")</f>
        <v/>
      </c>
      <c r="G32" s="4">
        <f>IFERROR(INDEX('Usage Detail'!$G:$G,AGGREGATE(15,6,ROW('Usage Detail'!$A$5:$A$204)/(('Usage Detail'!$B$5:$B$204="Gift")),ROW(A25))),"")</f>
        <v/>
      </c>
      <c r="H32" s="4">
        <f>IFERROR(INDEX('Usage Detail'!$H:$H,AGGREGATE(15,6,ROW('Usage Detail'!$A$5:$A$204)/(('Usage Detail'!$B$5:$B$204="Gift")),ROW(A25))),"")</f>
        <v/>
      </c>
    </row>
    <row r="33">
      <c r="A33" s="3">
        <f>IFERROR(INDEX('Usage Detail'!$A:$A,AGGREGATE(15,6,ROW('Usage Detail'!$A$5:$A$204)/(('Usage Detail'!$B$5:$B$204="Gift")),ROW(A26))),"")</f>
        <v/>
      </c>
      <c r="B33" s="3">
        <f>IFERROR(INDEX('Usage Detail'!$B:$B,AGGREGATE(15,6,ROW('Usage Detail'!$A$5:$A$204)/(('Usage Detail'!$B$5:$B$204="Gift")),ROW(A26))),"")</f>
        <v/>
      </c>
      <c r="C33" s="3">
        <f>IFERROR(INDEX('Usage Detail'!$C:$C,AGGREGATE(15,6,ROW('Usage Detail'!$A$5:$A$204)/(('Usage Detail'!$B$5:$B$204="Gift")),ROW(A26))),"")</f>
        <v/>
      </c>
      <c r="D33" s="3">
        <f>IFERROR(INDEX('Usage Detail'!$D:$D,AGGREGATE(15,6,ROW('Usage Detail'!$A$5:$A$204)/(('Usage Detail'!$B$5:$B$204="Gift")),ROW(A26))),"")</f>
        <v/>
      </c>
      <c r="E33" s="4">
        <f>IFERROR(INDEX('Usage Detail'!$E:$E,AGGREGATE(15,6,ROW('Usage Detail'!$A$5:$A$204)/(('Usage Detail'!$B$5:$B$204="Gift")),ROW(A26))),"")</f>
        <v/>
      </c>
      <c r="F33" s="4">
        <f>IFERROR(INDEX('Usage Detail'!$F:$F,AGGREGATE(15,6,ROW('Usage Detail'!$A$5:$A$204)/(('Usage Detail'!$B$5:$B$204="Gift")),ROW(A26))),"")</f>
        <v/>
      </c>
      <c r="G33" s="4">
        <f>IFERROR(INDEX('Usage Detail'!$G:$G,AGGREGATE(15,6,ROW('Usage Detail'!$A$5:$A$204)/(('Usage Detail'!$B$5:$B$204="Gift")),ROW(A26))),"")</f>
        <v/>
      </c>
      <c r="H33" s="4">
        <f>IFERROR(INDEX('Usage Detail'!$H:$H,AGGREGATE(15,6,ROW('Usage Detail'!$A$5:$A$204)/(('Usage Detail'!$B$5:$B$204="Gift")),ROW(A26))),"")</f>
        <v/>
      </c>
    </row>
    <row r="34">
      <c r="A34" s="3">
        <f>IFERROR(INDEX('Usage Detail'!$A:$A,AGGREGATE(15,6,ROW('Usage Detail'!$A$5:$A$204)/(('Usage Detail'!$B$5:$B$204="Gift")),ROW(A27))),"")</f>
        <v/>
      </c>
      <c r="B34" s="3">
        <f>IFERROR(INDEX('Usage Detail'!$B:$B,AGGREGATE(15,6,ROW('Usage Detail'!$A$5:$A$204)/(('Usage Detail'!$B$5:$B$204="Gift")),ROW(A27))),"")</f>
        <v/>
      </c>
      <c r="C34" s="3">
        <f>IFERROR(INDEX('Usage Detail'!$C:$C,AGGREGATE(15,6,ROW('Usage Detail'!$A$5:$A$204)/(('Usage Detail'!$B$5:$B$204="Gift")),ROW(A27))),"")</f>
        <v/>
      </c>
      <c r="D34" s="3">
        <f>IFERROR(INDEX('Usage Detail'!$D:$D,AGGREGATE(15,6,ROW('Usage Detail'!$A$5:$A$204)/(('Usage Detail'!$B$5:$B$204="Gift")),ROW(A27))),"")</f>
        <v/>
      </c>
      <c r="E34" s="4">
        <f>IFERROR(INDEX('Usage Detail'!$E:$E,AGGREGATE(15,6,ROW('Usage Detail'!$A$5:$A$204)/(('Usage Detail'!$B$5:$B$204="Gift")),ROW(A27))),"")</f>
        <v/>
      </c>
      <c r="F34" s="4">
        <f>IFERROR(INDEX('Usage Detail'!$F:$F,AGGREGATE(15,6,ROW('Usage Detail'!$A$5:$A$204)/(('Usage Detail'!$B$5:$B$204="Gift")),ROW(A27))),"")</f>
        <v/>
      </c>
      <c r="G34" s="4">
        <f>IFERROR(INDEX('Usage Detail'!$G:$G,AGGREGATE(15,6,ROW('Usage Detail'!$A$5:$A$204)/(('Usage Detail'!$B$5:$B$204="Gift")),ROW(A27))),"")</f>
        <v/>
      </c>
      <c r="H34" s="4">
        <f>IFERROR(INDEX('Usage Detail'!$H:$H,AGGREGATE(15,6,ROW('Usage Detail'!$A$5:$A$204)/(('Usage Detail'!$B$5:$B$204="Gift")),ROW(A27))),"")</f>
        <v/>
      </c>
    </row>
    <row r="35">
      <c r="A35" s="3">
        <f>IFERROR(INDEX('Usage Detail'!$A:$A,AGGREGATE(15,6,ROW('Usage Detail'!$A$5:$A$204)/(('Usage Detail'!$B$5:$B$204="Gift")),ROW(A28))),"")</f>
        <v/>
      </c>
      <c r="B35" s="3">
        <f>IFERROR(INDEX('Usage Detail'!$B:$B,AGGREGATE(15,6,ROW('Usage Detail'!$A$5:$A$204)/(('Usage Detail'!$B$5:$B$204="Gift")),ROW(A28))),"")</f>
        <v/>
      </c>
      <c r="C35" s="3">
        <f>IFERROR(INDEX('Usage Detail'!$C:$C,AGGREGATE(15,6,ROW('Usage Detail'!$A$5:$A$204)/(('Usage Detail'!$B$5:$B$204="Gift")),ROW(A28))),"")</f>
        <v/>
      </c>
      <c r="D35" s="3">
        <f>IFERROR(INDEX('Usage Detail'!$D:$D,AGGREGATE(15,6,ROW('Usage Detail'!$A$5:$A$204)/(('Usage Detail'!$B$5:$B$204="Gift")),ROW(A28))),"")</f>
        <v/>
      </c>
      <c r="E35" s="4">
        <f>IFERROR(INDEX('Usage Detail'!$E:$E,AGGREGATE(15,6,ROW('Usage Detail'!$A$5:$A$204)/(('Usage Detail'!$B$5:$B$204="Gift")),ROW(A28))),"")</f>
        <v/>
      </c>
      <c r="F35" s="4">
        <f>IFERROR(INDEX('Usage Detail'!$F:$F,AGGREGATE(15,6,ROW('Usage Detail'!$A$5:$A$204)/(('Usage Detail'!$B$5:$B$204="Gift")),ROW(A28))),"")</f>
        <v/>
      </c>
      <c r="G35" s="4">
        <f>IFERROR(INDEX('Usage Detail'!$G:$G,AGGREGATE(15,6,ROW('Usage Detail'!$A$5:$A$204)/(('Usage Detail'!$B$5:$B$204="Gift")),ROW(A28))),"")</f>
        <v/>
      </c>
      <c r="H35" s="4">
        <f>IFERROR(INDEX('Usage Detail'!$H:$H,AGGREGATE(15,6,ROW('Usage Detail'!$A$5:$A$204)/(('Usage Detail'!$B$5:$B$204="Gift")),ROW(A28))),"")</f>
        <v/>
      </c>
    </row>
    <row r="36">
      <c r="A36" s="3">
        <f>IFERROR(INDEX('Usage Detail'!$A:$A,AGGREGATE(15,6,ROW('Usage Detail'!$A$5:$A$204)/(('Usage Detail'!$B$5:$B$204="Gift")),ROW(A29))),"")</f>
        <v/>
      </c>
      <c r="B36" s="3">
        <f>IFERROR(INDEX('Usage Detail'!$B:$B,AGGREGATE(15,6,ROW('Usage Detail'!$A$5:$A$204)/(('Usage Detail'!$B$5:$B$204="Gift")),ROW(A29))),"")</f>
        <v/>
      </c>
      <c r="C36" s="3">
        <f>IFERROR(INDEX('Usage Detail'!$C:$C,AGGREGATE(15,6,ROW('Usage Detail'!$A$5:$A$204)/(('Usage Detail'!$B$5:$B$204="Gift")),ROW(A29))),"")</f>
        <v/>
      </c>
      <c r="D36" s="3">
        <f>IFERROR(INDEX('Usage Detail'!$D:$D,AGGREGATE(15,6,ROW('Usage Detail'!$A$5:$A$204)/(('Usage Detail'!$B$5:$B$204="Gift")),ROW(A29))),"")</f>
        <v/>
      </c>
      <c r="E36" s="4">
        <f>IFERROR(INDEX('Usage Detail'!$E:$E,AGGREGATE(15,6,ROW('Usage Detail'!$A$5:$A$204)/(('Usage Detail'!$B$5:$B$204="Gift")),ROW(A29))),"")</f>
        <v/>
      </c>
      <c r="F36" s="4">
        <f>IFERROR(INDEX('Usage Detail'!$F:$F,AGGREGATE(15,6,ROW('Usage Detail'!$A$5:$A$204)/(('Usage Detail'!$B$5:$B$204="Gift")),ROW(A29))),"")</f>
        <v/>
      </c>
      <c r="G36" s="4">
        <f>IFERROR(INDEX('Usage Detail'!$G:$G,AGGREGATE(15,6,ROW('Usage Detail'!$A$5:$A$204)/(('Usage Detail'!$B$5:$B$204="Gift")),ROW(A29))),"")</f>
        <v/>
      </c>
      <c r="H36" s="4">
        <f>IFERROR(INDEX('Usage Detail'!$H:$H,AGGREGATE(15,6,ROW('Usage Detail'!$A$5:$A$204)/(('Usage Detail'!$B$5:$B$204="Gift")),ROW(A29))),"")</f>
        <v/>
      </c>
    </row>
    <row r="37">
      <c r="A37" s="3">
        <f>IFERROR(INDEX('Usage Detail'!$A:$A,AGGREGATE(15,6,ROW('Usage Detail'!$A$5:$A$204)/(('Usage Detail'!$B$5:$B$204="Gift")),ROW(A30))),"")</f>
        <v/>
      </c>
      <c r="B37" s="3">
        <f>IFERROR(INDEX('Usage Detail'!$B:$B,AGGREGATE(15,6,ROW('Usage Detail'!$A$5:$A$204)/(('Usage Detail'!$B$5:$B$204="Gift")),ROW(A30))),"")</f>
        <v/>
      </c>
      <c r="C37" s="3">
        <f>IFERROR(INDEX('Usage Detail'!$C:$C,AGGREGATE(15,6,ROW('Usage Detail'!$A$5:$A$204)/(('Usage Detail'!$B$5:$B$204="Gift")),ROW(A30))),"")</f>
        <v/>
      </c>
      <c r="D37" s="3">
        <f>IFERROR(INDEX('Usage Detail'!$D:$D,AGGREGATE(15,6,ROW('Usage Detail'!$A$5:$A$204)/(('Usage Detail'!$B$5:$B$204="Gift")),ROW(A30))),"")</f>
        <v/>
      </c>
      <c r="E37" s="4">
        <f>IFERROR(INDEX('Usage Detail'!$E:$E,AGGREGATE(15,6,ROW('Usage Detail'!$A$5:$A$204)/(('Usage Detail'!$B$5:$B$204="Gift")),ROW(A30))),"")</f>
        <v/>
      </c>
      <c r="F37" s="4">
        <f>IFERROR(INDEX('Usage Detail'!$F:$F,AGGREGATE(15,6,ROW('Usage Detail'!$A$5:$A$204)/(('Usage Detail'!$B$5:$B$204="Gift")),ROW(A30))),"")</f>
        <v/>
      </c>
      <c r="G37" s="4">
        <f>IFERROR(INDEX('Usage Detail'!$G:$G,AGGREGATE(15,6,ROW('Usage Detail'!$A$5:$A$204)/(('Usage Detail'!$B$5:$B$204="Gift")),ROW(A30))),"")</f>
        <v/>
      </c>
      <c r="H37" s="4">
        <f>IFERROR(INDEX('Usage Detail'!$H:$H,AGGREGATE(15,6,ROW('Usage Detail'!$A$5:$A$204)/(('Usage Detail'!$B$5:$B$204="Gift")),ROW(A30))),"")</f>
        <v/>
      </c>
    </row>
    <row r="38">
      <c r="A38" s="3">
        <f>IFERROR(INDEX('Usage Detail'!$A:$A,AGGREGATE(15,6,ROW('Usage Detail'!$A$5:$A$204)/(('Usage Detail'!$B$5:$B$204="Gift")),ROW(A31))),"")</f>
        <v/>
      </c>
      <c r="B38" s="3">
        <f>IFERROR(INDEX('Usage Detail'!$B:$B,AGGREGATE(15,6,ROW('Usage Detail'!$A$5:$A$204)/(('Usage Detail'!$B$5:$B$204="Gift")),ROW(A31))),"")</f>
        <v/>
      </c>
      <c r="C38" s="3">
        <f>IFERROR(INDEX('Usage Detail'!$C:$C,AGGREGATE(15,6,ROW('Usage Detail'!$A$5:$A$204)/(('Usage Detail'!$B$5:$B$204="Gift")),ROW(A31))),"")</f>
        <v/>
      </c>
      <c r="D38" s="3">
        <f>IFERROR(INDEX('Usage Detail'!$D:$D,AGGREGATE(15,6,ROW('Usage Detail'!$A$5:$A$204)/(('Usage Detail'!$B$5:$B$204="Gift")),ROW(A31))),"")</f>
        <v/>
      </c>
      <c r="E38" s="4">
        <f>IFERROR(INDEX('Usage Detail'!$E:$E,AGGREGATE(15,6,ROW('Usage Detail'!$A$5:$A$204)/(('Usage Detail'!$B$5:$B$204="Gift")),ROW(A31))),"")</f>
        <v/>
      </c>
      <c r="F38" s="4">
        <f>IFERROR(INDEX('Usage Detail'!$F:$F,AGGREGATE(15,6,ROW('Usage Detail'!$A$5:$A$204)/(('Usage Detail'!$B$5:$B$204="Gift")),ROW(A31))),"")</f>
        <v/>
      </c>
      <c r="G38" s="4">
        <f>IFERROR(INDEX('Usage Detail'!$G:$G,AGGREGATE(15,6,ROW('Usage Detail'!$A$5:$A$204)/(('Usage Detail'!$B$5:$B$204="Gift")),ROW(A31))),"")</f>
        <v/>
      </c>
      <c r="H38" s="4">
        <f>IFERROR(INDEX('Usage Detail'!$H:$H,AGGREGATE(15,6,ROW('Usage Detail'!$A$5:$A$204)/(('Usage Detail'!$B$5:$B$204="Gift")),ROW(A31))),"")</f>
        <v/>
      </c>
    </row>
    <row r="39">
      <c r="A39" s="3">
        <f>IFERROR(INDEX('Usage Detail'!$A:$A,AGGREGATE(15,6,ROW('Usage Detail'!$A$5:$A$204)/(('Usage Detail'!$B$5:$B$204="Gift")),ROW(A32))),"")</f>
        <v/>
      </c>
      <c r="B39" s="3">
        <f>IFERROR(INDEX('Usage Detail'!$B:$B,AGGREGATE(15,6,ROW('Usage Detail'!$A$5:$A$204)/(('Usage Detail'!$B$5:$B$204="Gift")),ROW(A32))),"")</f>
        <v/>
      </c>
      <c r="C39" s="3">
        <f>IFERROR(INDEX('Usage Detail'!$C:$C,AGGREGATE(15,6,ROW('Usage Detail'!$A$5:$A$204)/(('Usage Detail'!$B$5:$B$204="Gift")),ROW(A32))),"")</f>
        <v/>
      </c>
      <c r="D39" s="3">
        <f>IFERROR(INDEX('Usage Detail'!$D:$D,AGGREGATE(15,6,ROW('Usage Detail'!$A$5:$A$204)/(('Usage Detail'!$B$5:$B$204="Gift")),ROW(A32))),"")</f>
        <v/>
      </c>
      <c r="E39" s="4">
        <f>IFERROR(INDEX('Usage Detail'!$E:$E,AGGREGATE(15,6,ROW('Usage Detail'!$A$5:$A$204)/(('Usage Detail'!$B$5:$B$204="Gift")),ROW(A32))),"")</f>
        <v/>
      </c>
      <c r="F39" s="4">
        <f>IFERROR(INDEX('Usage Detail'!$F:$F,AGGREGATE(15,6,ROW('Usage Detail'!$A$5:$A$204)/(('Usage Detail'!$B$5:$B$204="Gift")),ROW(A32))),"")</f>
        <v/>
      </c>
      <c r="G39" s="4">
        <f>IFERROR(INDEX('Usage Detail'!$G:$G,AGGREGATE(15,6,ROW('Usage Detail'!$A$5:$A$204)/(('Usage Detail'!$B$5:$B$204="Gift")),ROW(A32))),"")</f>
        <v/>
      </c>
      <c r="H39" s="4">
        <f>IFERROR(INDEX('Usage Detail'!$H:$H,AGGREGATE(15,6,ROW('Usage Detail'!$A$5:$A$204)/(('Usage Detail'!$B$5:$B$204="Gift")),ROW(A32))),"")</f>
        <v/>
      </c>
    </row>
    <row r="40">
      <c r="A40" s="3">
        <f>IFERROR(INDEX('Usage Detail'!$A:$A,AGGREGATE(15,6,ROW('Usage Detail'!$A$5:$A$204)/(('Usage Detail'!$B$5:$B$204="Gift")),ROW(A33))),"")</f>
        <v/>
      </c>
      <c r="B40" s="3">
        <f>IFERROR(INDEX('Usage Detail'!$B:$B,AGGREGATE(15,6,ROW('Usage Detail'!$A$5:$A$204)/(('Usage Detail'!$B$5:$B$204="Gift")),ROW(A33))),"")</f>
        <v/>
      </c>
      <c r="C40" s="3">
        <f>IFERROR(INDEX('Usage Detail'!$C:$C,AGGREGATE(15,6,ROW('Usage Detail'!$A$5:$A$204)/(('Usage Detail'!$B$5:$B$204="Gift")),ROW(A33))),"")</f>
        <v/>
      </c>
      <c r="D40" s="3">
        <f>IFERROR(INDEX('Usage Detail'!$D:$D,AGGREGATE(15,6,ROW('Usage Detail'!$A$5:$A$204)/(('Usage Detail'!$B$5:$B$204="Gift")),ROW(A33))),"")</f>
        <v/>
      </c>
      <c r="E40" s="4">
        <f>IFERROR(INDEX('Usage Detail'!$E:$E,AGGREGATE(15,6,ROW('Usage Detail'!$A$5:$A$204)/(('Usage Detail'!$B$5:$B$204="Gift")),ROW(A33))),"")</f>
        <v/>
      </c>
      <c r="F40" s="4">
        <f>IFERROR(INDEX('Usage Detail'!$F:$F,AGGREGATE(15,6,ROW('Usage Detail'!$A$5:$A$204)/(('Usage Detail'!$B$5:$B$204="Gift")),ROW(A33))),"")</f>
        <v/>
      </c>
      <c r="G40" s="4">
        <f>IFERROR(INDEX('Usage Detail'!$G:$G,AGGREGATE(15,6,ROW('Usage Detail'!$A$5:$A$204)/(('Usage Detail'!$B$5:$B$204="Gift")),ROW(A33))),"")</f>
        <v/>
      </c>
      <c r="H40" s="4">
        <f>IFERROR(INDEX('Usage Detail'!$H:$H,AGGREGATE(15,6,ROW('Usage Detail'!$A$5:$A$204)/(('Usage Detail'!$B$5:$B$204="Gift")),ROW(A33))),"")</f>
        <v/>
      </c>
    </row>
    <row r="41">
      <c r="A41" s="3">
        <f>IFERROR(INDEX('Usage Detail'!$A:$A,AGGREGATE(15,6,ROW('Usage Detail'!$A$5:$A$204)/(('Usage Detail'!$B$5:$B$204="Gift")),ROW(A34))),"")</f>
        <v/>
      </c>
      <c r="B41" s="3">
        <f>IFERROR(INDEX('Usage Detail'!$B:$B,AGGREGATE(15,6,ROW('Usage Detail'!$A$5:$A$204)/(('Usage Detail'!$B$5:$B$204="Gift")),ROW(A34))),"")</f>
        <v/>
      </c>
      <c r="C41" s="3">
        <f>IFERROR(INDEX('Usage Detail'!$C:$C,AGGREGATE(15,6,ROW('Usage Detail'!$A$5:$A$204)/(('Usage Detail'!$B$5:$B$204="Gift")),ROW(A34))),"")</f>
        <v/>
      </c>
      <c r="D41" s="3">
        <f>IFERROR(INDEX('Usage Detail'!$D:$D,AGGREGATE(15,6,ROW('Usage Detail'!$A$5:$A$204)/(('Usage Detail'!$B$5:$B$204="Gift")),ROW(A34))),"")</f>
        <v/>
      </c>
      <c r="E41" s="4">
        <f>IFERROR(INDEX('Usage Detail'!$E:$E,AGGREGATE(15,6,ROW('Usage Detail'!$A$5:$A$204)/(('Usage Detail'!$B$5:$B$204="Gift")),ROW(A34))),"")</f>
        <v/>
      </c>
      <c r="F41" s="4">
        <f>IFERROR(INDEX('Usage Detail'!$F:$F,AGGREGATE(15,6,ROW('Usage Detail'!$A$5:$A$204)/(('Usage Detail'!$B$5:$B$204="Gift")),ROW(A34))),"")</f>
        <v/>
      </c>
      <c r="G41" s="4">
        <f>IFERROR(INDEX('Usage Detail'!$G:$G,AGGREGATE(15,6,ROW('Usage Detail'!$A$5:$A$204)/(('Usage Detail'!$B$5:$B$204="Gift")),ROW(A34))),"")</f>
        <v/>
      </c>
      <c r="H41" s="4">
        <f>IFERROR(INDEX('Usage Detail'!$H:$H,AGGREGATE(15,6,ROW('Usage Detail'!$A$5:$A$204)/(('Usage Detail'!$B$5:$B$204="Gift")),ROW(A34))),"")</f>
        <v/>
      </c>
    </row>
    <row r="42">
      <c r="A42" s="3">
        <f>IFERROR(INDEX('Usage Detail'!$A:$A,AGGREGATE(15,6,ROW('Usage Detail'!$A$5:$A$204)/(('Usage Detail'!$B$5:$B$204="Gift")),ROW(A35))),"")</f>
        <v/>
      </c>
      <c r="B42" s="3">
        <f>IFERROR(INDEX('Usage Detail'!$B:$B,AGGREGATE(15,6,ROW('Usage Detail'!$A$5:$A$204)/(('Usage Detail'!$B$5:$B$204="Gift")),ROW(A35))),"")</f>
        <v/>
      </c>
      <c r="C42" s="3">
        <f>IFERROR(INDEX('Usage Detail'!$C:$C,AGGREGATE(15,6,ROW('Usage Detail'!$A$5:$A$204)/(('Usage Detail'!$B$5:$B$204="Gift")),ROW(A35))),"")</f>
        <v/>
      </c>
      <c r="D42" s="3">
        <f>IFERROR(INDEX('Usage Detail'!$D:$D,AGGREGATE(15,6,ROW('Usage Detail'!$A$5:$A$204)/(('Usage Detail'!$B$5:$B$204="Gift")),ROW(A35))),"")</f>
        <v/>
      </c>
      <c r="E42" s="4">
        <f>IFERROR(INDEX('Usage Detail'!$E:$E,AGGREGATE(15,6,ROW('Usage Detail'!$A$5:$A$204)/(('Usage Detail'!$B$5:$B$204="Gift")),ROW(A35))),"")</f>
        <v/>
      </c>
      <c r="F42" s="4">
        <f>IFERROR(INDEX('Usage Detail'!$F:$F,AGGREGATE(15,6,ROW('Usage Detail'!$A$5:$A$204)/(('Usage Detail'!$B$5:$B$204="Gift")),ROW(A35))),"")</f>
        <v/>
      </c>
      <c r="G42" s="4">
        <f>IFERROR(INDEX('Usage Detail'!$G:$G,AGGREGATE(15,6,ROW('Usage Detail'!$A$5:$A$204)/(('Usage Detail'!$B$5:$B$204="Gift")),ROW(A35))),"")</f>
        <v/>
      </c>
      <c r="H42" s="4">
        <f>IFERROR(INDEX('Usage Detail'!$H:$H,AGGREGATE(15,6,ROW('Usage Detail'!$A$5:$A$204)/(('Usage Detail'!$B$5:$B$204="Gift")),ROW(A35))),"")</f>
        <v/>
      </c>
    </row>
    <row r="43">
      <c r="A43" s="3">
        <f>IFERROR(INDEX('Usage Detail'!$A:$A,AGGREGATE(15,6,ROW('Usage Detail'!$A$5:$A$204)/(('Usage Detail'!$B$5:$B$204="Gift")),ROW(A36))),"")</f>
        <v/>
      </c>
      <c r="B43" s="3">
        <f>IFERROR(INDEX('Usage Detail'!$B:$B,AGGREGATE(15,6,ROW('Usage Detail'!$A$5:$A$204)/(('Usage Detail'!$B$5:$B$204="Gift")),ROW(A36))),"")</f>
        <v/>
      </c>
      <c r="C43" s="3">
        <f>IFERROR(INDEX('Usage Detail'!$C:$C,AGGREGATE(15,6,ROW('Usage Detail'!$A$5:$A$204)/(('Usage Detail'!$B$5:$B$204="Gift")),ROW(A36))),"")</f>
        <v/>
      </c>
      <c r="D43" s="3">
        <f>IFERROR(INDEX('Usage Detail'!$D:$D,AGGREGATE(15,6,ROW('Usage Detail'!$A$5:$A$204)/(('Usage Detail'!$B$5:$B$204="Gift")),ROW(A36))),"")</f>
        <v/>
      </c>
      <c r="E43" s="4">
        <f>IFERROR(INDEX('Usage Detail'!$E:$E,AGGREGATE(15,6,ROW('Usage Detail'!$A$5:$A$204)/(('Usage Detail'!$B$5:$B$204="Gift")),ROW(A36))),"")</f>
        <v/>
      </c>
      <c r="F43" s="4">
        <f>IFERROR(INDEX('Usage Detail'!$F:$F,AGGREGATE(15,6,ROW('Usage Detail'!$A$5:$A$204)/(('Usage Detail'!$B$5:$B$204="Gift")),ROW(A36))),"")</f>
        <v/>
      </c>
      <c r="G43" s="4">
        <f>IFERROR(INDEX('Usage Detail'!$G:$G,AGGREGATE(15,6,ROW('Usage Detail'!$A$5:$A$204)/(('Usage Detail'!$B$5:$B$204="Gift")),ROW(A36))),"")</f>
        <v/>
      </c>
      <c r="H43" s="4">
        <f>IFERROR(INDEX('Usage Detail'!$H:$H,AGGREGATE(15,6,ROW('Usage Detail'!$A$5:$A$204)/(('Usage Detail'!$B$5:$B$204="Gift")),ROW(A36))),"")</f>
        <v/>
      </c>
    </row>
    <row r="44">
      <c r="A44" s="3">
        <f>IFERROR(INDEX('Usage Detail'!$A:$A,AGGREGATE(15,6,ROW('Usage Detail'!$A$5:$A$204)/(('Usage Detail'!$B$5:$B$204="Gift")),ROW(A37))),"")</f>
        <v/>
      </c>
      <c r="B44" s="3">
        <f>IFERROR(INDEX('Usage Detail'!$B:$B,AGGREGATE(15,6,ROW('Usage Detail'!$A$5:$A$204)/(('Usage Detail'!$B$5:$B$204="Gift")),ROW(A37))),"")</f>
        <v/>
      </c>
      <c r="C44" s="3">
        <f>IFERROR(INDEX('Usage Detail'!$C:$C,AGGREGATE(15,6,ROW('Usage Detail'!$A$5:$A$204)/(('Usage Detail'!$B$5:$B$204="Gift")),ROW(A37))),"")</f>
        <v/>
      </c>
      <c r="D44" s="3">
        <f>IFERROR(INDEX('Usage Detail'!$D:$D,AGGREGATE(15,6,ROW('Usage Detail'!$A$5:$A$204)/(('Usage Detail'!$B$5:$B$204="Gift")),ROW(A37))),"")</f>
        <v/>
      </c>
      <c r="E44" s="4">
        <f>IFERROR(INDEX('Usage Detail'!$E:$E,AGGREGATE(15,6,ROW('Usage Detail'!$A$5:$A$204)/(('Usage Detail'!$B$5:$B$204="Gift")),ROW(A37))),"")</f>
        <v/>
      </c>
      <c r="F44" s="4">
        <f>IFERROR(INDEX('Usage Detail'!$F:$F,AGGREGATE(15,6,ROW('Usage Detail'!$A$5:$A$204)/(('Usage Detail'!$B$5:$B$204="Gift")),ROW(A37))),"")</f>
        <v/>
      </c>
      <c r="G44" s="4">
        <f>IFERROR(INDEX('Usage Detail'!$G:$G,AGGREGATE(15,6,ROW('Usage Detail'!$A$5:$A$204)/(('Usage Detail'!$B$5:$B$204="Gift")),ROW(A37))),"")</f>
        <v/>
      </c>
      <c r="H44" s="4">
        <f>IFERROR(INDEX('Usage Detail'!$H:$H,AGGREGATE(15,6,ROW('Usage Detail'!$A$5:$A$204)/(('Usage Detail'!$B$5:$B$204="Gift")),ROW(A37))),"")</f>
        <v/>
      </c>
    </row>
    <row r="45">
      <c r="A45" s="3">
        <f>IFERROR(INDEX('Usage Detail'!$A:$A,AGGREGATE(15,6,ROW('Usage Detail'!$A$5:$A$204)/(('Usage Detail'!$B$5:$B$204="Gift")),ROW(A38))),"")</f>
        <v/>
      </c>
      <c r="B45" s="3">
        <f>IFERROR(INDEX('Usage Detail'!$B:$B,AGGREGATE(15,6,ROW('Usage Detail'!$A$5:$A$204)/(('Usage Detail'!$B$5:$B$204="Gift")),ROW(A38))),"")</f>
        <v/>
      </c>
      <c r="C45" s="3">
        <f>IFERROR(INDEX('Usage Detail'!$C:$C,AGGREGATE(15,6,ROW('Usage Detail'!$A$5:$A$204)/(('Usage Detail'!$B$5:$B$204="Gift")),ROW(A38))),"")</f>
        <v/>
      </c>
      <c r="D45" s="3">
        <f>IFERROR(INDEX('Usage Detail'!$D:$D,AGGREGATE(15,6,ROW('Usage Detail'!$A$5:$A$204)/(('Usage Detail'!$B$5:$B$204="Gift")),ROW(A38))),"")</f>
        <v/>
      </c>
      <c r="E45" s="4">
        <f>IFERROR(INDEX('Usage Detail'!$E:$E,AGGREGATE(15,6,ROW('Usage Detail'!$A$5:$A$204)/(('Usage Detail'!$B$5:$B$204="Gift")),ROW(A38))),"")</f>
        <v/>
      </c>
      <c r="F45" s="4">
        <f>IFERROR(INDEX('Usage Detail'!$F:$F,AGGREGATE(15,6,ROW('Usage Detail'!$A$5:$A$204)/(('Usage Detail'!$B$5:$B$204="Gift")),ROW(A38))),"")</f>
        <v/>
      </c>
      <c r="G45" s="4">
        <f>IFERROR(INDEX('Usage Detail'!$G:$G,AGGREGATE(15,6,ROW('Usage Detail'!$A$5:$A$204)/(('Usage Detail'!$B$5:$B$204="Gift")),ROW(A38))),"")</f>
        <v/>
      </c>
      <c r="H45" s="4">
        <f>IFERROR(INDEX('Usage Detail'!$H:$H,AGGREGATE(15,6,ROW('Usage Detail'!$A$5:$A$204)/(('Usage Detail'!$B$5:$B$204="Gift")),ROW(A38))),"")</f>
        <v/>
      </c>
    </row>
    <row r="46">
      <c r="A46" s="3">
        <f>IFERROR(INDEX('Usage Detail'!$A:$A,AGGREGATE(15,6,ROW('Usage Detail'!$A$5:$A$204)/(('Usage Detail'!$B$5:$B$204="Gift")),ROW(A39))),"")</f>
        <v/>
      </c>
      <c r="B46" s="3">
        <f>IFERROR(INDEX('Usage Detail'!$B:$B,AGGREGATE(15,6,ROW('Usage Detail'!$A$5:$A$204)/(('Usage Detail'!$B$5:$B$204="Gift")),ROW(A39))),"")</f>
        <v/>
      </c>
      <c r="C46" s="3">
        <f>IFERROR(INDEX('Usage Detail'!$C:$C,AGGREGATE(15,6,ROW('Usage Detail'!$A$5:$A$204)/(('Usage Detail'!$B$5:$B$204="Gift")),ROW(A39))),"")</f>
        <v/>
      </c>
      <c r="D46" s="3">
        <f>IFERROR(INDEX('Usage Detail'!$D:$D,AGGREGATE(15,6,ROW('Usage Detail'!$A$5:$A$204)/(('Usage Detail'!$B$5:$B$204="Gift")),ROW(A39))),"")</f>
        <v/>
      </c>
      <c r="E46" s="4">
        <f>IFERROR(INDEX('Usage Detail'!$E:$E,AGGREGATE(15,6,ROW('Usage Detail'!$A$5:$A$204)/(('Usage Detail'!$B$5:$B$204="Gift")),ROW(A39))),"")</f>
        <v/>
      </c>
      <c r="F46" s="4">
        <f>IFERROR(INDEX('Usage Detail'!$F:$F,AGGREGATE(15,6,ROW('Usage Detail'!$A$5:$A$204)/(('Usage Detail'!$B$5:$B$204="Gift")),ROW(A39))),"")</f>
        <v/>
      </c>
      <c r="G46" s="4">
        <f>IFERROR(INDEX('Usage Detail'!$G:$G,AGGREGATE(15,6,ROW('Usage Detail'!$A$5:$A$204)/(('Usage Detail'!$B$5:$B$204="Gift")),ROW(A39))),"")</f>
        <v/>
      </c>
      <c r="H46" s="4">
        <f>IFERROR(INDEX('Usage Detail'!$H:$H,AGGREGATE(15,6,ROW('Usage Detail'!$A$5:$A$204)/(('Usage Detail'!$B$5:$B$204="Gift")),ROW(A39))),"")</f>
        <v/>
      </c>
    </row>
    <row r="47">
      <c r="A47" s="3">
        <f>IFERROR(INDEX('Usage Detail'!$A:$A,AGGREGATE(15,6,ROW('Usage Detail'!$A$5:$A$204)/(('Usage Detail'!$B$5:$B$204="Gift")),ROW(A40))),"")</f>
        <v/>
      </c>
      <c r="B47" s="3">
        <f>IFERROR(INDEX('Usage Detail'!$B:$B,AGGREGATE(15,6,ROW('Usage Detail'!$A$5:$A$204)/(('Usage Detail'!$B$5:$B$204="Gift")),ROW(A40))),"")</f>
        <v/>
      </c>
      <c r="C47" s="3">
        <f>IFERROR(INDEX('Usage Detail'!$C:$C,AGGREGATE(15,6,ROW('Usage Detail'!$A$5:$A$204)/(('Usage Detail'!$B$5:$B$204="Gift")),ROW(A40))),"")</f>
        <v/>
      </c>
      <c r="D47" s="3">
        <f>IFERROR(INDEX('Usage Detail'!$D:$D,AGGREGATE(15,6,ROW('Usage Detail'!$A$5:$A$204)/(('Usage Detail'!$B$5:$B$204="Gift")),ROW(A40))),"")</f>
        <v/>
      </c>
      <c r="E47" s="4">
        <f>IFERROR(INDEX('Usage Detail'!$E:$E,AGGREGATE(15,6,ROW('Usage Detail'!$A$5:$A$204)/(('Usage Detail'!$B$5:$B$204="Gift")),ROW(A40))),"")</f>
        <v/>
      </c>
      <c r="F47" s="4">
        <f>IFERROR(INDEX('Usage Detail'!$F:$F,AGGREGATE(15,6,ROW('Usage Detail'!$A$5:$A$204)/(('Usage Detail'!$B$5:$B$204="Gift")),ROW(A40))),"")</f>
        <v/>
      </c>
      <c r="G47" s="4">
        <f>IFERROR(INDEX('Usage Detail'!$G:$G,AGGREGATE(15,6,ROW('Usage Detail'!$A$5:$A$204)/(('Usage Detail'!$B$5:$B$204="Gift")),ROW(A40))),"")</f>
        <v/>
      </c>
      <c r="H47" s="4">
        <f>IFERROR(INDEX('Usage Detail'!$H:$H,AGGREGATE(15,6,ROW('Usage Detail'!$A$5:$A$204)/(('Usage Detail'!$B$5:$B$204="Gift")),ROW(A40))),"")</f>
        <v/>
      </c>
    </row>
    <row r="48">
      <c r="A48" s="3">
        <f>IFERROR(INDEX('Usage Detail'!$A:$A,AGGREGATE(15,6,ROW('Usage Detail'!$A$5:$A$204)/(('Usage Detail'!$B$5:$B$204="Gift")),ROW(A41))),"")</f>
        <v/>
      </c>
      <c r="B48" s="3">
        <f>IFERROR(INDEX('Usage Detail'!$B:$B,AGGREGATE(15,6,ROW('Usage Detail'!$A$5:$A$204)/(('Usage Detail'!$B$5:$B$204="Gift")),ROW(A41))),"")</f>
        <v/>
      </c>
      <c r="C48" s="3">
        <f>IFERROR(INDEX('Usage Detail'!$C:$C,AGGREGATE(15,6,ROW('Usage Detail'!$A$5:$A$204)/(('Usage Detail'!$B$5:$B$204="Gift")),ROW(A41))),"")</f>
        <v/>
      </c>
      <c r="D48" s="3">
        <f>IFERROR(INDEX('Usage Detail'!$D:$D,AGGREGATE(15,6,ROW('Usage Detail'!$A$5:$A$204)/(('Usage Detail'!$B$5:$B$204="Gift")),ROW(A41))),"")</f>
        <v/>
      </c>
      <c r="E48" s="4">
        <f>IFERROR(INDEX('Usage Detail'!$E:$E,AGGREGATE(15,6,ROW('Usage Detail'!$A$5:$A$204)/(('Usage Detail'!$B$5:$B$204="Gift")),ROW(A41))),"")</f>
        <v/>
      </c>
      <c r="F48" s="4">
        <f>IFERROR(INDEX('Usage Detail'!$F:$F,AGGREGATE(15,6,ROW('Usage Detail'!$A$5:$A$204)/(('Usage Detail'!$B$5:$B$204="Gift")),ROW(A41))),"")</f>
        <v/>
      </c>
      <c r="G48" s="4">
        <f>IFERROR(INDEX('Usage Detail'!$G:$G,AGGREGATE(15,6,ROW('Usage Detail'!$A$5:$A$204)/(('Usage Detail'!$B$5:$B$204="Gift")),ROW(A41))),"")</f>
        <v/>
      </c>
      <c r="H48" s="4">
        <f>IFERROR(INDEX('Usage Detail'!$H:$H,AGGREGATE(15,6,ROW('Usage Detail'!$A$5:$A$204)/(('Usage Detail'!$B$5:$B$204="Gift")),ROW(A41))),"")</f>
        <v/>
      </c>
    </row>
    <row r="49">
      <c r="A49" s="3">
        <f>IFERROR(INDEX('Usage Detail'!$A:$A,AGGREGATE(15,6,ROW('Usage Detail'!$A$5:$A$204)/(('Usage Detail'!$B$5:$B$204="Gift")),ROW(A42))),"")</f>
        <v/>
      </c>
      <c r="B49" s="3">
        <f>IFERROR(INDEX('Usage Detail'!$B:$B,AGGREGATE(15,6,ROW('Usage Detail'!$A$5:$A$204)/(('Usage Detail'!$B$5:$B$204="Gift")),ROW(A42))),"")</f>
        <v/>
      </c>
      <c r="C49" s="3">
        <f>IFERROR(INDEX('Usage Detail'!$C:$C,AGGREGATE(15,6,ROW('Usage Detail'!$A$5:$A$204)/(('Usage Detail'!$B$5:$B$204="Gift")),ROW(A42))),"")</f>
        <v/>
      </c>
      <c r="D49" s="3">
        <f>IFERROR(INDEX('Usage Detail'!$D:$D,AGGREGATE(15,6,ROW('Usage Detail'!$A$5:$A$204)/(('Usage Detail'!$B$5:$B$204="Gift")),ROW(A42))),"")</f>
        <v/>
      </c>
      <c r="E49" s="4">
        <f>IFERROR(INDEX('Usage Detail'!$E:$E,AGGREGATE(15,6,ROW('Usage Detail'!$A$5:$A$204)/(('Usage Detail'!$B$5:$B$204="Gift")),ROW(A42))),"")</f>
        <v/>
      </c>
      <c r="F49" s="4">
        <f>IFERROR(INDEX('Usage Detail'!$F:$F,AGGREGATE(15,6,ROW('Usage Detail'!$A$5:$A$204)/(('Usage Detail'!$B$5:$B$204="Gift")),ROW(A42))),"")</f>
        <v/>
      </c>
      <c r="G49" s="4">
        <f>IFERROR(INDEX('Usage Detail'!$G:$G,AGGREGATE(15,6,ROW('Usage Detail'!$A$5:$A$204)/(('Usage Detail'!$B$5:$B$204="Gift")),ROW(A42))),"")</f>
        <v/>
      </c>
      <c r="H49" s="4">
        <f>IFERROR(INDEX('Usage Detail'!$H:$H,AGGREGATE(15,6,ROW('Usage Detail'!$A$5:$A$204)/(('Usage Detail'!$B$5:$B$204="Gift")),ROW(A42))),"")</f>
        <v/>
      </c>
    </row>
    <row r="50">
      <c r="A50" s="3">
        <f>IFERROR(INDEX('Usage Detail'!$A:$A,AGGREGATE(15,6,ROW('Usage Detail'!$A$5:$A$204)/(('Usage Detail'!$B$5:$B$204="Gift")),ROW(A43))),"")</f>
        <v/>
      </c>
      <c r="B50" s="3">
        <f>IFERROR(INDEX('Usage Detail'!$B:$B,AGGREGATE(15,6,ROW('Usage Detail'!$A$5:$A$204)/(('Usage Detail'!$B$5:$B$204="Gift")),ROW(A43))),"")</f>
        <v/>
      </c>
      <c r="C50" s="3">
        <f>IFERROR(INDEX('Usage Detail'!$C:$C,AGGREGATE(15,6,ROW('Usage Detail'!$A$5:$A$204)/(('Usage Detail'!$B$5:$B$204="Gift")),ROW(A43))),"")</f>
        <v/>
      </c>
      <c r="D50" s="3">
        <f>IFERROR(INDEX('Usage Detail'!$D:$D,AGGREGATE(15,6,ROW('Usage Detail'!$A$5:$A$204)/(('Usage Detail'!$B$5:$B$204="Gift")),ROW(A43))),"")</f>
        <v/>
      </c>
      <c r="E50" s="4">
        <f>IFERROR(INDEX('Usage Detail'!$E:$E,AGGREGATE(15,6,ROW('Usage Detail'!$A$5:$A$204)/(('Usage Detail'!$B$5:$B$204="Gift")),ROW(A43))),"")</f>
        <v/>
      </c>
      <c r="F50" s="4">
        <f>IFERROR(INDEX('Usage Detail'!$F:$F,AGGREGATE(15,6,ROW('Usage Detail'!$A$5:$A$204)/(('Usage Detail'!$B$5:$B$204="Gift")),ROW(A43))),"")</f>
        <v/>
      </c>
      <c r="G50" s="4">
        <f>IFERROR(INDEX('Usage Detail'!$G:$G,AGGREGATE(15,6,ROW('Usage Detail'!$A$5:$A$204)/(('Usage Detail'!$B$5:$B$204="Gift")),ROW(A43))),"")</f>
        <v/>
      </c>
      <c r="H50" s="4">
        <f>IFERROR(INDEX('Usage Detail'!$H:$H,AGGREGATE(15,6,ROW('Usage Detail'!$A$5:$A$204)/(('Usage Detail'!$B$5:$B$204="Gift")),ROW(A43))),"")</f>
        <v/>
      </c>
    </row>
    <row r="51">
      <c r="A51" s="3">
        <f>IFERROR(INDEX('Usage Detail'!$A:$A,AGGREGATE(15,6,ROW('Usage Detail'!$A$5:$A$204)/(('Usage Detail'!$B$5:$B$204="Gift")),ROW(A44))),"")</f>
        <v/>
      </c>
      <c r="B51" s="3">
        <f>IFERROR(INDEX('Usage Detail'!$B:$B,AGGREGATE(15,6,ROW('Usage Detail'!$A$5:$A$204)/(('Usage Detail'!$B$5:$B$204="Gift")),ROW(A44))),"")</f>
        <v/>
      </c>
      <c r="C51" s="3">
        <f>IFERROR(INDEX('Usage Detail'!$C:$C,AGGREGATE(15,6,ROW('Usage Detail'!$A$5:$A$204)/(('Usage Detail'!$B$5:$B$204="Gift")),ROW(A44))),"")</f>
        <v/>
      </c>
      <c r="D51" s="3">
        <f>IFERROR(INDEX('Usage Detail'!$D:$D,AGGREGATE(15,6,ROW('Usage Detail'!$A$5:$A$204)/(('Usage Detail'!$B$5:$B$204="Gift")),ROW(A44))),"")</f>
        <v/>
      </c>
      <c r="E51" s="4">
        <f>IFERROR(INDEX('Usage Detail'!$E:$E,AGGREGATE(15,6,ROW('Usage Detail'!$A$5:$A$204)/(('Usage Detail'!$B$5:$B$204="Gift")),ROW(A44))),"")</f>
        <v/>
      </c>
      <c r="F51" s="4">
        <f>IFERROR(INDEX('Usage Detail'!$F:$F,AGGREGATE(15,6,ROW('Usage Detail'!$A$5:$A$204)/(('Usage Detail'!$B$5:$B$204="Gift")),ROW(A44))),"")</f>
        <v/>
      </c>
      <c r="G51" s="4">
        <f>IFERROR(INDEX('Usage Detail'!$G:$G,AGGREGATE(15,6,ROW('Usage Detail'!$A$5:$A$204)/(('Usage Detail'!$B$5:$B$204="Gift")),ROW(A44))),"")</f>
        <v/>
      </c>
      <c r="H51" s="4">
        <f>IFERROR(INDEX('Usage Detail'!$H:$H,AGGREGATE(15,6,ROW('Usage Detail'!$A$5:$A$204)/(('Usage Detail'!$B$5:$B$204="Gift")),ROW(A44))),"")</f>
        <v/>
      </c>
    </row>
    <row r="52">
      <c r="A52" s="3">
        <f>IFERROR(INDEX('Usage Detail'!$A:$A,AGGREGATE(15,6,ROW('Usage Detail'!$A$5:$A$204)/(('Usage Detail'!$B$5:$B$204="Gift")),ROW(A45))),"")</f>
        <v/>
      </c>
      <c r="B52" s="3">
        <f>IFERROR(INDEX('Usage Detail'!$B:$B,AGGREGATE(15,6,ROW('Usage Detail'!$A$5:$A$204)/(('Usage Detail'!$B$5:$B$204="Gift")),ROW(A45))),"")</f>
        <v/>
      </c>
      <c r="C52" s="3">
        <f>IFERROR(INDEX('Usage Detail'!$C:$C,AGGREGATE(15,6,ROW('Usage Detail'!$A$5:$A$204)/(('Usage Detail'!$B$5:$B$204="Gift")),ROW(A45))),"")</f>
        <v/>
      </c>
      <c r="D52" s="3">
        <f>IFERROR(INDEX('Usage Detail'!$D:$D,AGGREGATE(15,6,ROW('Usage Detail'!$A$5:$A$204)/(('Usage Detail'!$B$5:$B$204="Gift")),ROW(A45))),"")</f>
        <v/>
      </c>
      <c r="E52" s="4">
        <f>IFERROR(INDEX('Usage Detail'!$E:$E,AGGREGATE(15,6,ROW('Usage Detail'!$A$5:$A$204)/(('Usage Detail'!$B$5:$B$204="Gift")),ROW(A45))),"")</f>
        <v/>
      </c>
      <c r="F52" s="4">
        <f>IFERROR(INDEX('Usage Detail'!$F:$F,AGGREGATE(15,6,ROW('Usage Detail'!$A$5:$A$204)/(('Usage Detail'!$B$5:$B$204="Gift")),ROW(A45))),"")</f>
        <v/>
      </c>
      <c r="G52" s="4">
        <f>IFERROR(INDEX('Usage Detail'!$G:$G,AGGREGATE(15,6,ROW('Usage Detail'!$A$5:$A$204)/(('Usage Detail'!$B$5:$B$204="Gift")),ROW(A45))),"")</f>
        <v/>
      </c>
      <c r="H52" s="4">
        <f>IFERROR(INDEX('Usage Detail'!$H:$H,AGGREGATE(15,6,ROW('Usage Detail'!$A$5:$A$204)/(('Usage Detail'!$B$5:$B$204="Gift")),ROW(A45))),"")</f>
        <v/>
      </c>
    </row>
    <row r="53">
      <c r="A53" s="3">
        <f>IFERROR(INDEX('Usage Detail'!$A:$A,AGGREGATE(15,6,ROW('Usage Detail'!$A$5:$A$204)/(('Usage Detail'!$B$5:$B$204="Gift")),ROW(A46))),"")</f>
        <v/>
      </c>
      <c r="B53" s="3">
        <f>IFERROR(INDEX('Usage Detail'!$B:$B,AGGREGATE(15,6,ROW('Usage Detail'!$A$5:$A$204)/(('Usage Detail'!$B$5:$B$204="Gift")),ROW(A46))),"")</f>
        <v/>
      </c>
      <c r="C53" s="3">
        <f>IFERROR(INDEX('Usage Detail'!$C:$C,AGGREGATE(15,6,ROW('Usage Detail'!$A$5:$A$204)/(('Usage Detail'!$B$5:$B$204="Gift")),ROW(A46))),"")</f>
        <v/>
      </c>
      <c r="D53" s="3">
        <f>IFERROR(INDEX('Usage Detail'!$D:$D,AGGREGATE(15,6,ROW('Usage Detail'!$A$5:$A$204)/(('Usage Detail'!$B$5:$B$204="Gift")),ROW(A46))),"")</f>
        <v/>
      </c>
      <c r="E53" s="4">
        <f>IFERROR(INDEX('Usage Detail'!$E:$E,AGGREGATE(15,6,ROW('Usage Detail'!$A$5:$A$204)/(('Usage Detail'!$B$5:$B$204="Gift")),ROW(A46))),"")</f>
        <v/>
      </c>
      <c r="F53" s="4">
        <f>IFERROR(INDEX('Usage Detail'!$F:$F,AGGREGATE(15,6,ROW('Usage Detail'!$A$5:$A$204)/(('Usage Detail'!$B$5:$B$204="Gift")),ROW(A46))),"")</f>
        <v/>
      </c>
      <c r="G53" s="4">
        <f>IFERROR(INDEX('Usage Detail'!$G:$G,AGGREGATE(15,6,ROW('Usage Detail'!$A$5:$A$204)/(('Usage Detail'!$B$5:$B$204="Gift")),ROW(A46))),"")</f>
        <v/>
      </c>
      <c r="H53" s="4">
        <f>IFERROR(INDEX('Usage Detail'!$H:$H,AGGREGATE(15,6,ROW('Usage Detail'!$A$5:$A$204)/(('Usage Detail'!$B$5:$B$204="Gift")),ROW(A46))),"")</f>
        <v/>
      </c>
    </row>
    <row r="54">
      <c r="A54" s="3">
        <f>IFERROR(INDEX('Usage Detail'!$A:$A,AGGREGATE(15,6,ROW('Usage Detail'!$A$5:$A$204)/(('Usage Detail'!$B$5:$B$204="Gift")),ROW(A47))),"")</f>
        <v/>
      </c>
      <c r="B54" s="3">
        <f>IFERROR(INDEX('Usage Detail'!$B:$B,AGGREGATE(15,6,ROW('Usage Detail'!$A$5:$A$204)/(('Usage Detail'!$B$5:$B$204="Gift")),ROW(A47))),"")</f>
        <v/>
      </c>
      <c r="C54" s="3">
        <f>IFERROR(INDEX('Usage Detail'!$C:$C,AGGREGATE(15,6,ROW('Usage Detail'!$A$5:$A$204)/(('Usage Detail'!$B$5:$B$204="Gift")),ROW(A47))),"")</f>
        <v/>
      </c>
      <c r="D54" s="3">
        <f>IFERROR(INDEX('Usage Detail'!$D:$D,AGGREGATE(15,6,ROW('Usage Detail'!$A$5:$A$204)/(('Usage Detail'!$B$5:$B$204="Gift")),ROW(A47))),"")</f>
        <v/>
      </c>
      <c r="E54" s="4">
        <f>IFERROR(INDEX('Usage Detail'!$E:$E,AGGREGATE(15,6,ROW('Usage Detail'!$A$5:$A$204)/(('Usage Detail'!$B$5:$B$204="Gift")),ROW(A47))),"")</f>
        <v/>
      </c>
      <c r="F54" s="4">
        <f>IFERROR(INDEX('Usage Detail'!$F:$F,AGGREGATE(15,6,ROW('Usage Detail'!$A$5:$A$204)/(('Usage Detail'!$B$5:$B$204="Gift")),ROW(A47))),"")</f>
        <v/>
      </c>
      <c r="G54" s="4">
        <f>IFERROR(INDEX('Usage Detail'!$G:$G,AGGREGATE(15,6,ROW('Usage Detail'!$A$5:$A$204)/(('Usage Detail'!$B$5:$B$204="Gift")),ROW(A47))),"")</f>
        <v/>
      </c>
      <c r="H54" s="4">
        <f>IFERROR(INDEX('Usage Detail'!$H:$H,AGGREGATE(15,6,ROW('Usage Detail'!$A$5:$A$204)/(('Usage Detail'!$B$5:$B$204="Gift")),ROW(A47))),"")</f>
        <v/>
      </c>
    </row>
    <row r="55">
      <c r="A55" s="3">
        <f>IFERROR(INDEX('Usage Detail'!$A:$A,AGGREGATE(15,6,ROW('Usage Detail'!$A$5:$A$204)/(('Usage Detail'!$B$5:$B$204="Gift")),ROW(A48))),"")</f>
        <v/>
      </c>
      <c r="B55" s="3">
        <f>IFERROR(INDEX('Usage Detail'!$B:$B,AGGREGATE(15,6,ROW('Usage Detail'!$A$5:$A$204)/(('Usage Detail'!$B$5:$B$204="Gift")),ROW(A48))),"")</f>
        <v/>
      </c>
      <c r="C55" s="3">
        <f>IFERROR(INDEX('Usage Detail'!$C:$C,AGGREGATE(15,6,ROW('Usage Detail'!$A$5:$A$204)/(('Usage Detail'!$B$5:$B$204="Gift")),ROW(A48))),"")</f>
        <v/>
      </c>
      <c r="D55" s="3">
        <f>IFERROR(INDEX('Usage Detail'!$D:$D,AGGREGATE(15,6,ROW('Usage Detail'!$A$5:$A$204)/(('Usage Detail'!$B$5:$B$204="Gift")),ROW(A48))),"")</f>
        <v/>
      </c>
      <c r="E55" s="4">
        <f>IFERROR(INDEX('Usage Detail'!$E:$E,AGGREGATE(15,6,ROW('Usage Detail'!$A$5:$A$204)/(('Usage Detail'!$B$5:$B$204="Gift")),ROW(A48))),"")</f>
        <v/>
      </c>
      <c r="F55" s="4">
        <f>IFERROR(INDEX('Usage Detail'!$F:$F,AGGREGATE(15,6,ROW('Usage Detail'!$A$5:$A$204)/(('Usage Detail'!$B$5:$B$204="Gift")),ROW(A48))),"")</f>
        <v/>
      </c>
      <c r="G55" s="4">
        <f>IFERROR(INDEX('Usage Detail'!$G:$G,AGGREGATE(15,6,ROW('Usage Detail'!$A$5:$A$204)/(('Usage Detail'!$B$5:$B$204="Gift")),ROW(A48))),"")</f>
        <v/>
      </c>
      <c r="H55" s="4">
        <f>IFERROR(INDEX('Usage Detail'!$H:$H,AGGREGATE(15,6,ROW('Usage Detail'!$A$5:$A$204)/(('Usage Detail'!$B$5:$B$204="Gift")),ROW(A48))),"")</f>
        <v/>
      </c>
    </row>
    <row r="56">
      <c r="A56" s="3">
        <f>IFERROR(INDEX('Usage Detail'!$A:$A,AGGREGATE(15,6,ROW('Usage Detail'!$A$5:$A$204)/(('Usage Detail'!$B$5:$B$204="Gift")),ROW(A49))),"")</f>
        <v/>
      </c>
      <c r="B56" s="3">
        <f>IFERROR(INDEX('Usage Detail'!$B:$B,AGGREGATE(15,6,ROW('Usage Detail'!$A$5:$A$204)/(('Usage Detail'!$B$5:$B$204="Gift")),ROW(A49))),"")</f>
        <v/>
      </c>
      <c r="C56" s="3">
        <f>IFERROR(INDEX('Usage Detail'!$C:$C,AGGREGATE(15,6,ROW('Usage Detail'!$A$5:$A$204)/(('Usage Detail'!$B$5:$B$204="Gift")),ROW(A49))),"")</f>
        <v/>
      </c>
      <c r="D56" s="3">
        <f>IFERROR(INDEX('Usage Detail'!$D:$D,AGGREGATE(15,6,ROW('Usage Detail'!$A$5:$A$204)/(('Usage Detail'!$B$5:$B$204="Gift")),ROW(A49))),"")</f>
        <v/>
      </c>
      <c r="E56" s="4">
        <f>IFERROR(INDEX('Usage Detail'!$E:$E,AGGREGATE(15,6,ROW('Usage Detail'!$A$5:$A$204)/(('Usage Detail'!$B$5:$B$204="Gift")),ROW(A49))),"")</f>
        <v/>
      </c>
      <c r="F56" s="4">
        <f>IFERROR(INDEX('Usage Detail'!$F:$F,AGGREGATE(15,6,ROW('Usage Detail'!$A$5:$A$204)/(('Usage Detail'!$B$5:$B$204="Gift")),ROW(A49))),"")</f>
        <v/>
      </c>
      <c r="G56" s="4">
        <f>IFERROR(INDEX('Usage Detail'!$G:$G,AGGREGATE(15,6,ROW('Usage Detail'!$A$5:$A$204)/(('Usage Detail'!$B$5:$B$204="Gift")),ROW(A49))),"")</f>
        <v/>
      </c>
      <c r="H56" s="4">
        <f>IFERROR(INDEX('Usage Detail'!$H:$H,AGGREGATE(15,6,ROW('Usage Detail'!$A$5:$A$204)/(('Usage Detail'!$B$5:$B$204="Gift")),ROW(A49))),"")</f>
        <v/>
      </c>
    </row>
    <row r="57">
      <c r="A57" s="3">
        <f>IFERROR(INDEX('Usage Detail'!$A:$A,AGGREGATE(15,6,ROW('Usage Detail'!$A$5:$A$204)/(('Usage Detail'!$B$5:$B$204="Gift")),ROW(A50))),"")</f>
        <v/>
      </c>
      <c r="B57" s="3">
        <f>IFERROR(INDEX('Usage Detail'!$B:$B,AGGREGATE(15,6,ROW('Usage Detail'!$A$5:$A$204)/(('Usage Detail'!$B$5:$B$204="Gift")),ROW(A50))),"")</f>
        <v/>
      </c>
      <c r="C57" s="3">
        <f>IFERROR(INDEX('Usage Detail'!$C:$C,AGGREGATE(15,6,ROW('Usage Detail'!$A$5:$A$204)/(('Usage Detail'!$B$5:$B$204="Gift")),ROW(A50))),"")</f>
        <v/>
      </c>
      <c r="D57" s="3">
        <f>IFERROR(INDEX('Usage Detail'!$D:$D,AGGREGATE(15,6,ROW('Usage Detail'!$A$5:$A$204)/(('Usage Detail'!$B$5:$B$204="Gift")),ROW(A50))),"")</f>
        <v/>
      </c>
      <c r="E57" s="4">
        <f>IFERROR(INDEX('Usage Detail'!$E:$E,AGGREGATE(15,6,ROW('Usage Detail'!$A$5:$A$204)/(('Usage Detail'!$B$5:$B$204="Gift")),ROW(A50))),"")</f>
        <v/>
      </c>
      <c r="F57" s="4">
        <f>IFERROR(INDEX('Usage Detail'!$F:$F,AGGREGATE(15,6,ROW('Usage Detail'!$A$5:$A$204)/(('Usage Detail'!$B$5:$B$204="Gift")),ROW(A50))),"")</f>
        <v/>
      </c>
      <c r="G57" s="4">
        <f>IFERROR(INDEX('Usage Detail'!$G:$G,AGGREGATE(15,6,ROW('Usage Detail'!$A$5:$A$204)/(('Usage Detail'!$B$5:$B$204="Gift")),ROW(A50))),"")</f>
        <v/>
      </c>
      <c r="H57" s="4">
        <f>IFERROR(INDEX('Usage Detail'!$H:$H,AGGREGATE(15,6,ROW('Usage Detail'!$A$5:$A$204)/(('Usage Detail'!$B$5:$B$204="Gift")),ROW(A50))),"")</f>
        <v/>
      </c>
    </row>
    <row r="58">
      <c r="A58" s="3">
        <f>IFERROR(INDEX('Usage Detail'!$A:$A,AGGREGATE(15,6,ROW('Usage Detail'!$A$5:$A$204)/(('Usage Detail'!$B$5:$B$204="Gift")),ROW(A51))),"")</f>
        <v/>
      </c>
      <c r="B58" s="3">
        <f>IFERROR(INDEX('Usage Detail'!$B:$B,AGGREGATE(15,6,ROW('Usage Detail'!$A$5:$A$204)/(('Usage Detail'!$B$5:$B$204="Gift")),ROW(A51))),"")</f>
        <v/>
      </c>
      <c r="C58" s="3">
        <f>IFERROR(INDEX('Usage Detail'!$C:$C,AGGREGATE(15,6,ROW('Usage Detail'!$A$5:$A$204)/(('Usage Detail'!$B$5:$B$204="Gift")),ROW(A51))),"")</f>
        <v/>
      </c>
      <c r="D58" s="3">
        <f>IFERROR(INDEX('Usage Detail'!$D:$D,AGGREGATE(15,6,ROW('Usage Detail'!$A$5:$A$204)/(('Usage Detail'!$B$5:$B$204="Gift")),ROW(A51))),"")</f>
        <v/>
      </c>
      <c r="E58" s="4">
        <f>IFERROR(INDEX('Usage Detail'!$E:$E,AGGREGATE(15,6,ROW('Usage Detail'!$A$5:$A$204)/(('Usage Detail'!$B$5:$B$204="Gift")),ROW(A51))),"")</f>
        <v/>
      </c>
      <c r="F58" s="4">
        <f>IFERROR(INDEX('Usage Detail'!$F:$F,AGGREGATE(15,6,ROW('Usage Detail'!$A$5:$A$204)/(('Usage Detail'!$B$5:$B$204="Gift")),ROW(A51))),"")</f>
        <v/>
      </c>
      <c r="G58" s="4">
        <f>IFERROR(INDEX('Usage Detail'!$G:$G,AGGREGATE(15,6,ROW('Usage Detail'!$A$5:$A$204)/(('Usage Detail'!$B$5:$B$204="Gift")),ROW(A51))),"")</f>
        <v/>
      </c>
      <c r="H58" s="4">
        <f>IFERROR(INDEX('Usage Detail'!$H:$H,AGGREGATE(15,6,ROW('Usage Detail'!$A$5:$A$204)/(('Usage Detail'!$B$5:$B$204="Gift")),ROW(A51))),"")</f>
        <v/>
      </c>
    </row>
    <row r="59">
      <c r="A59" s="3">
        <f>IFERROR(INDEX('Usage Detail'!$A:$A,AGGREGATE(15,6,ROW('Usage Detail'!$A$5:$A$204)/(('Usage Detail'!$B$5:$B$204="Gift")),ROW(A52))),"")</f>
        <v/>
      </c>
      <c r="B59" s="3">
        <f>IFERROR(INDEX('Usage Detail'!$B:$B,AGGREGATE(15,6,ROW('Usage Detail'!$A$5:$A$204)/(('Usage Detail'!$B$5:$B$204="Gift")),ROW(A52))),"")</f>
        <v/>
      </c>
      <c r="C59" s="3">
        <f>IFERROR(INDEX('Usage Detail'!$C:$C,AGGREGATE(15,6,ROW('Usage Detail'!$A$5:$A$204)/(('Usage Detail'!$B$5:$B$204="Gift")),ROW(A52))),"")</f>
        <v/>
      </c>
      <c r="D59" s="3">
        <f>IFERROR(INDEX('Usage Detail'!$D:$D,AGGREGATE(15,6,ROW('Usage Detail'!$A$5:$A$204)/(('Usage Detail'!$B$5:$B$204="Gift")),ROW(A52))),"")</f>
        <v/>
      </c>
      <c r="E59" s="4">
        <f>IFERROR(INDEX('Usage Detail'!$E:$E,AGGREGATE(15,6,ROW('Usage Detail'!$A$5:$A$204)/(('Usage Detail'!$B$5:$B$204="Gift")),ROW(A52))),"")</f>
        <v/>
      </c>
      <c r="F59" s="4">
        <f>IFERROR(INDEX('Usage Detail'!$F:$F,AGGREGATE(15,6,ROW('Usage Detail'!$A$5:$A$204)/(('Usage Detail'!$B$5:$B$204="Gift")),ROW(A52))),"")</f>
        <v/>
      </c>
      <c r="G59" s="4">
        <f>IFERROR(INDEX('Usage Detail'!$G:$G,AGGREGATE(15,6,ROW('Usage Detail'!$A$5:$A$204)/(('Usage Detail'!$B$5:$B$204="Gift")),ROW(A52))),"")</f>
        <v/>
      </c>
      <c r="H59" s="4">
        <f>IFERROR(INDEX('Usage Detail'!$H:$H,AGGREGATE(15,6,ROW('Usage Detail'!$A$5:$A$204)/(('Usage Detail'!$B$5:$B$204="Gift")),ROW(A52))),"")</f>
        <v/>
      </c>
    </row>
    <row r="60">
      <c r="A60" s="3">
        <f>IFERROR(INDEX('Usage Detail'!$A:$A,AGGREGATE(15,6,ROW('Usage Detail'!$A$5:$A$204)/(('Usage Detail'!$B$5:$B$204="Gift")),ROW(A53))),"")</f>
        <v/>
      </c>
      <c r="B60" s="3">
        <f>IFERROR(INDEX('Usage Detail'!$B:$B,AGGREGATE(15,6,ROW('Usage Detail'!$A$5:$A$204)/(('Usage Detail'!$B$5:$B$204="Gift")),ROW(A53))),"")</f>
        <v/>
      </c>
      <c r="C60" s="3">
        <f>IFERROR(INDEX('Usage Detail'!$C:$C,AGGREGATE(15,6,ROW('Usage Detail'!$A$5:$A$204)/(('Usage Detail'!$B$5:$B$204="Gift")),ROW(A53))),"")</f>
        <v/>
      </c>
      <c r="D60" s="3">
        <f>IFERROR(INDEX('Usage Detail'!$D:$D,AGGREGATE(15,6,ROW('Usage Detail'!$A$5:$A$204)/(('Usage Detail'!$B$5:$B$204="Gift")),ROW(A53))),"")</f>
        <v/>
      </c>
      <c r="E60" s="4">
        <f>IFERROR(INDEX('Usage Detail'!$E:$E,AGGREGATE(15,6,ROW('Usage Detail'!$A$5:$A$204)/(('Usage Detail'!$B$5:$B$204="Gift")),ROW(A53))),"")</f>
        <v/>
      </c>
      <c r="F60" s="4">
        <f>IFERROR(INDEX('Usage Detail'!$F:$F,AGGREGATE(15,6,ROW('Usage Detail'!$A$5:$A$204)/(('Usage Detail'!$B$5:$B$204="Gift")),ROW(A53))),"")</f>
        <v/>
      </c>
      <c r="G60" s="4">
        <f>IFERROR(INDEX('Usage Detail'!$G:$G,AGGREGATE(15,6,ROW('Usage Detail'!$A$5:$A$204)/(('Usage Detail'!$B$5:$B$204="Gift")),ROW(A53))),"")</f>
        <v/>
      </c>
      <c r="H60" s="4">
        <f>IFERROR(INDEX('Usage Detail'!$H:$H,AGGREGATE(15,6,ROW('Usage Detail'!$A$5:$A$204)/(('Usage Detail'!$B$5:$B$204="Gift")),ROW(A53))),"")</f>
        <v/>
      </c>
    </row>
    <row r="61">
      <c r="A61" s="3">
        <f>IFERROR(INDEX('Usage Detail'!$A:$A,AGGREGATE(15,6,ROW('Usage Detail'!$A$5:$A$204)/(('Usage Detail'!$B$5:$B$204="Gift")),ROW(A54))),"")</f>
        <v/>
      </c>
      <c r="B61" s="3">
        <f>IFERROR(INDEX('Usage Detail'!$B:$B,AGGREGATE(15,6,ROW('Usage Detail'!$A$5:$A$204)/(('Usage Detail'!$B$5:$B$204="Gift")),ROW(A54))),"")</f>
        <v/>
      </c>
      <c r="C61" s="3">
        <f>IFERROR(INDEX('Usage Detail'!$C:$C,AGGREGATE(15,6,ROW('Usage Detail'!$A$5:$A$204)/(('Usage Detail'!$B$5:$B$204="Gift")),ROW(A54))),"")</f>
        <v/>
      </c>
      <c r="D61" s="3">
        <f>IFERROR(INDEX('Usage Detail'!$D:$D,AGGREGATE(15,6,ROW('Usage Detail'!$A$5:$A$204)/(('Usage Detail'!$B$5:$B$204="Gift")),ROW(A54))),"")</f>
        <v/>
      </c>
      <c r="E61" s="4">
        <f>IFERROR(INDEX('Usage Detail'!$E:$E,AGGREGATE(15,6,ROW('Usage Detail'!$A$5:$A$204)/(('Usage Detail'!$B$5:$B$204="Gift")),ROW(A54))),"")</f>
        <v/>
      </c>
      <c r="F61" s="4">
        <f>IFERROR(INDEX('Usage Detail'!$F:$F,AGGREGATE(15,6,ROW('Usage Detail'!$A$5:$A$204)/(('Usage Detail'!$B$5:$B$204="Gift")),ROW(A54))),"")</f>
        <v/>
      </c>
      <c r="G61" s="4">
        <f>IFERROR(INDEX('Usage Detail'!$G:$G,AGGREGATE(15,6,ROW('Usage Detail'!$A$5:$A$204)/(('Usage Detail'!$B$5:$B$204="Gift")),ROW(A54))),"")</f>
        <v/>
      </c>
      <c r="H61" s="4">
        <f>IFERROR(INDEX('Usage Detail'!$H:$H,AGGREGATE(15,6,ROW('Usage Detail'!$A$5:$A$204)/(('Usage Detail'!$B$5:$B$204="Gift")),ROW(A54))),"")</f>
        <v/>
      </c>
    </row>
    <row r="62">
      <c r="A62" s="3">
        <f>IFERROR(INDEX('Usage Detail'!$A:$A,AGGREGATE(15,6,ROW('Usage Detail'!$A$5:$A$204)/(('Usage Detail'!$B$5:$B$204="Gift")),ROW(A55))),"")</f>
        <v/>
      </c>
      <c r="B62" s="3">
        <f>IFERROR(INDEX('Usage Detail'!$B:$B,AGGREGATE(15,6,ROW('Usage Detail'!$A$5:$A$204)/(('Usage Detail'!$B$5:$B$204="Gift")),ROW(A55))),"")</f>
        <v/>
      </c>
      <c r="C62" s="3">
        <f>IFERROR(INDEX('Usage Detail'!$C:$C,AGGREGATE(15,6,ROW('Usage Detail'!$A$5:$A$204)/(('Usage Detail'!$B$5:$B$204="Gift")),ROW(A55))),"")</f>
        <v/>
      </c>
      <c r="D62" s="3">
        <f>IFERROR(INDEX('Usage Detail'!$D:$D,AGGREGATE(15,6,ROW('Usage Detail'!$A$5:$A$204)/(('Usage Detail'!$B$5:$B$204="Gift")),ROW(A55))),"")</f>
        <v/>
      </c>
      <c r="E62" s="4">
        <f>IFERROR(INDEX('Usage Detail'!$E:$E,AGGREGATE(15,6,ROW('Usage Detail'!$A$5:$A$204)/(('Usage Detail'!$B$5:$B$204="Gift")),ROW(A55))),"")</f>
        <v/>
      </c>
      <c r="F62" s="4">
        <f>IFERROR(INDEX('Usage Detail'!$F:$F,AGGREGATE(15,6,ROW('Usage Detail'!$A$5:$A$204)/(('Usage Detail'!$B$5:$B$204="Gift")),ROW(A55))),"")</f>
        <v/>
      </c>
      <c r="G62" s="4">
        <f>IFERROR(INDEX('Usage Detail'!$G:$G,AGGREGATE(15,6,ROW('Usage Detail'!$A$5:$A$204)/(('Usage Detail'!$B$5:$B$204="Gift")),ROW(A55))),"")</f>
        <v/>
      </c>
      <c r="H62" s="4">
        <f>IFERROR(INDEX('Usage Detail'!$H:$H,AGGREGATE(15,6,ROW('Usage Detail'!$A$5:$A$204)/(('Usage Detail'!$B$5:$B$204="Gift")),ROW(A55))),"")</f>
        <v/>
      </c>
    </row>
    <row r="63">
      <c r="A63" s="3">
        <f>IFERROR(INDEX('Usage Detail'!$A:$A,AGGREGATE(15,6,ROW('Usage Detail'!$A$5:$A$204)/(('Usage Detail'!$B$5:$B$204="Gift")),ROW(A56))),"")</f>
        <v/>
      </c>
      <c r="B63" s="3">
        <f>IFERROR(INDEX('Usage Detail'!$B:$B,AGGREGATE(15,6,ROW('Usage Detail'!$A$5:$A$204)/(('Usage Detail'!$B$5:$B$204="Gift")),ROW(A56))),"")</f>
        <v/>
      </c>
      <c r="C63" s="3">
        <f>IFERROR(INDEX('Usage Detail'!$C:$C,AGGREGATE(15,6,ROW('Usage Detail'!$A$5:$A$204)/(('Usage Detail'!$B$5:$B$204="Gift")),ROW(A56))),"")</f>
        <v/>
      </c>
      <c r="D63" s="3">
        <f>IFERROR(INDEX('Usage Detail'!$D:$D,AGGREGATE(15,6,ROW('Usage Detail'!$A$5:$A$204)/(('Usage Detail'!$B$5:$B$204="Gift")),ROW(A56))),"")</f>
        <v/>
      </c>
      <c r="E63" s="4">
        <f>IFERROR(INDEX('Usage Detail'!$E:$E,AGGREGATE(15,6,ROW('Usage Detail'!$A$5:$A$204)/(('Usage Detail'!$B$5:$B$204="Gift")),ROW(A56))),"")</f>
        <v/>
      </c>
      <c r="F63" s="4">
        <f>IFERROR(INDEX('Usage Detail'!$F:$F,AGGREGATE(15,6,ROW('Usage Detail'!$A$5:$A$204)/(('Usage Detail'!$B$5:$B$204="Gift")),ROW(A56))),"")</f>
        <v/>
      </c>
      <c r="G63" s="4">
        <f>IFERROR(INDEX('Usage Detail'!$G:$G,AGGREGATE(15,6,ROW('Usage Detail'!$A$5:$A$204)/(('Usage Detail'!$B$5:$B$204="Gift")),ROW(A56))),"")</f>
        <v/>
      </c>
      <c r="H63" s="4">
        <f>IFERROR(INDEX('Usage Detail'!$H:$H,AGGREGATE(15,6,ROW('Usage Detail'!$A$5:$A$204)/(('Usage Detail'!$B$5:$B$204="Gift")),ROW(A56))),"")</f>
        <v/>
      </c>
    </row>
    <row r="64">
      <c r="A64" s="3">
        <f>IFERROR(INDEX('Usage Detail'!$A:$A,AGGREGATE(15,6,ROW('Usage Detail'!$A$5:$A$204)/(('Usage Detail'!$B$5:$B$204="Gift")),ROW(A57))),"")</f>
        <v/>
      </c>
      <c r="B64" s="3">
        <f>IFERROR(INDEX('Usage Detail'!$B:$B,AGGREGATE(15,6,ROW('Usage Detail'!$A$5:$A$204)/(('Usage Detail'!$B$5:$B$204="Gift")),ROW(A57))),"")</f>
        <v/>
      </c>
      <c r="C64" s="3">
        <f>IFERROR(INDEX('Usage Detail'!$C:$C,AGGREGATE(15,6,ROW('Usage Detail'!$A$5:$A$204)/(('Usage Detail'!$B$5:$B$204="Gift")),ROW(A57))),"")</f>
        <v/>
      </c>
      <c r="D64" s="3">
        <f>IFERROR(INDEX('Usage Detail'!$D:$D,AGGREGATE(15,6,ROW('Usage Detail'!$A$5:$A$204)/(('Usage Detail'!$B$5:$B$204="Gift")),ROW(A57))),"")</f>
        <v/>
      </c>
      <c r="E64" s="4">
        <f>IFERROR(INDEX('Usage Detail'!$E:$E,AGGREGATE(15,6,ROW('Usage Detail'!$A$5:$A$204)/(('Usage Detail'!$B$5:$B$204="Gift")),ROW(A57))),"")</f>
        <v/>
      </c>
      <c r="F64" s="4">
        <f>IFERROR(INDEX('Usage Detail'!$F:$F,AGGREGATE(15,6,ROW('Usage Detail'!$A$5:$A$204)/(('Usage Detail'!$B$5:$B$204="Gift")),ROW(A57))),"")</f>
        <v/>
      </c>
      <c r="G64" s="4">
        <f>IFERROR(INDEX('Usage Detail'!$G:$G,AGGREGATE(15,6,ROW('Usage Detail'!$A$5:$A$204)/(('Usage Detail'!$B$5:$B$204="Gift")),ROW(A57))),"")</f>
        <v/>
      </c>
      <c r="H64" s="4">
        <f>IFERROR(INDEX('Usage Detail'!$H:$H,AGGREGATE(15,6,ROW('Usage Detail'!$A$5:$A$204)/(('Usage Detail'!$B$5:$B$204="Gift")),ROW(A57))),"")</f>
        <v/>
      </c>
    </row>
    <row r="65">
      <c r="A65" s="3">
        <f>IFERROR(INDEX('Usage Detail'!$A:$A,AGGREGATE(15,6,ROW('Usage Detail'!$A$5:$A$204)/(('Usage Detail'!$B$5:$B$204="Gift")),ROW(A58))),"")</f>
        <v/>
      </c>
      <c r="B65" s="3">
        <f>IFERROR(INDEX('Usage Detail'!$B:$B,AGGREGATE(15,6,ROW('Usage Detail'!$A$5:$A$204)/(('Usage Detail'!$B$5:$B$204="Gift")),ROW(A58))),"")</f>
        <v/>
      </c>
      <c r="C65" s="3">
        <f>IFERROR(INDEX('Usage Detail'!$C:$C,AGGREGATE(15,6,ROW('Usage Detail'!$A$5:$A$204)/(('Usage Detail'!$B$5:$B$204="Gift")),ROW(A58))),"")</f>
        <v/>
      </c>
      <c r="D65" s="3">
        <f>IFERROR(INDEX('Usage Detail'!$D:$D,AGGREGATE(15,6,ROW('Usage Detail'!$A$5:$A$204)/(('Usage Detail'!$B$5:$B$204="Gift")),ROW(A58))),"")</f>
        <v/>
      </c>
      <c r="E65" s="4">
        <f>IFERROR(INDEX('Usage Detail'!$E:$E,AGGREGATE(15,6,ROW('Usage Detail'!$A$5:$A$204)/(('Usage Detail'!$B$5:$B$204="Gift")),ROW(A58))),"")</f>
        <v/>
      </c>
      <c r="F65" s="4">
        <f>IFERROR(INDEX('Usage Detail'!$F:$F,AGGREGATE(15,6,ROW('Usage Detail'!$A$5:$A$204)/(('Usage Detail'!$B$5:$B$204="Gift")),ROW(A58))),"")</f>
        <v/>
      </c>
      <c r="G65" s="4">
        <f>IFERROR(INDEX('Usage Detail'!$G:$G,AGGREGATE(15,6,ROW('Usage Detail'!$A$5:$A$204)/(('Usage Detail'!$B$5:$B$204="Gift")),ROW(A58))),"")</f>
        <v/>
      </c>
      <c r="H65" s="4">
        <f>IFERROR(INDEX('Usage Detail'!$H:$H,AGGREGATE(15,6,ROW('Usage Detail'!$A$5:$A$204)/(('Usage Detail'!$B$5:$B$204="Gift")),ROW(A58))),"")</f>
        <v/>
      </c>
    </row>
    <row r="66">
      <c r="A66" s="3">
        <f>IFERROR(INDEX('Usage Detail'!$A:$A,AGGREGATE(15,6,ROW('Usage Detail'!$A$5:$A$204)/(('Usage Detail'!$B$5:$B$204="Gift")),ROW(A59))),"")</f>
        <v/>
      </c>
      <c r="B66" s="3">
        <f>IFERROR(INDEX('Usage Detail'!$B:$B,AGGREGATE(15,6,ROW('Usage Detail'!$A$5:$A$204)/(('Usage Detail'!$B$5:$B$204="Gift")),ROW(A59))),"")</f>
        <v/>
      </c>
      <c r="C66" s="3">
        <f>IFERROR(INDEX('Usage Detail'!$C:$C,AGGREGATE(15,6,ROW('Usage Detail'!$A$5:$A$204)/(('Usage Detail'!$B$5:$B$204="Gift")),ROW(A59))),"")</f>
        <v/>
      </c>
      <c r="D66" s="3">
        <f>IFERROR(INDEX('Usage Detail'!$D:$D,AGGREGATE(15,6,ROW('Usage Detail'!$A$5:$A$204)/(('Usage Detail'!$B$5:$B$204="Gift")),ROW(A59))),"")</f>
        <v/>
      </c>
      <c r="E66" s="4">
        <f>IFERROR(INDEX('Usage Detail'!$E:$E,AGGREGATE(15,6,ROW('Usage Detail'!$A$5:$A$204)/(('Usage Detail'!$B$5:$B$204="Gift")),ROW(A59))),"")</f>
        <v/>
      </c>
      <c r="F66" s="4">
        <f>IFERROR(INDEX('Usage Detail'!$F:$F,AGGREGATE(15,6,ROW('Usage Detail'!$A$5:$A$204)/(('Usage Detail'!$B$5:$B$204="Gift")),ROW(A59))),"")</f>
        <v/>
      </c>
      <c r="G66" s="4">
        <f>IFERROR(INDEX('Usage Detail'!$G:$G,AGGREGATE(15,6,ROW('Usage Detail'!$A$5:$A$204)/(('Usage Detail'!$B$5:$B$204="Gift")),ROW(A59))),"")</f>
        <v/>
      </c>
      <c r="H66" s="4">
        <f>IFERROR(INDEX('Usage Detail'!$H:$H,AGGREGATE(15,6,ROW('Usage Detail'!$A$5:$A$204)/(('Usage Detail'!$B$5:$B$204="Gift")),ROW(A59))),"")</f>
        <v/>
      </c>
    </row>
    <row r="67">
      <c r="A67" s="3">
        <f>IFERROR(INDEX('Usage Detail'!$A:$A,AGGREGATE(15,6,ROW('Usage Detail'!$A$5:$A$204)/(('Usage Detail'!$B$5:$B$204="Gift")),ROW(A60))),"")</f>
        <v/>
      </c>
      <c r="B67" s="3">
        <f>IFERROR(INDEX('Usage Detail'!$B:$B,AGGREGATE(15,6,ROW('Usage Detail'!$A$5:$A$204)/(('Usage Detail'!$B$5:$B$204="Gift")),ROW(A60))),"")</f>
        <v/>
      </c>
      <c r="C67" s="3">
        <f>IFERROR(INDEX('Usage Detail'!$C:$C,AGGREGATE(15,6,ROW('Usage Detail'!$A$5:$A$204)/(('Usage Detail'!$B$5:$B$204="Gift")),ROW(A60))),"")</f>
        <v/>
      </c>
      <c r="D67" s="3">
        <f>IFERROR(INDEX('Usage Detail'!$D:$D,AGGREGATE(15,6,ROW('Usage Detail'!$A$5:$A$204)/(('Usage Detail'!$B$5:$B$204="Gift")),ROW(A60))),"")</f>
        <v/>
      </c>
      <c r="E67" s="4">
        <f>IFERROR(INDEX('Usage Detail'!$E:$E,AGGREGATE(15,6,ROW('Usage Detail'!$A$5:$A$204)/(('Usage Detail'!$B$5:$B$204="Gift")),ROW(A60))),"")</f>
        <v/>
      </c>
      <c r="F67" s="4">
        <f>IFERROR(INDEX('Usage Detail'!$F:$F,AGGREGATE(15,6,ROW('Usage Detail'!$A$5:$A$204)/(('Usage Detail'!$B$5:$B$204="Gift")),ROW(A60))),"")</f>
        <v/>
      </c>
      <c r="G67" s="4">
        <f>IFERROR(INDEX('Usage Detail'!$G:$G,AGGREGATE(15,6,ROW('Usage Detail'!$A$5:$A$204)/(('Usage Detail'!$B$5:$B$204="Gift")),ROW(A60))),"")</f>
        <v/>
      </c>
      <c r="H67" s="4">
        <f>IFERROR(INDEX('Usage Detail'!$H:$H,AGGREGATE(15,6,ROW('Usage Detail'!$A$5:$A$204)/(('Usage Detail'!$B$5:$B$204="Gift")),ROW(A60))),"")</f>
        <v/>
      </c>
    </row>
    <row r="68">
      <c r="A68" s="3">
        <f>IFERROR(INDEX('Usage Detail'!$A:$A,AGGREGATE(15,6,ROW('Usage Detail'!$A$5:$A$204)/(('Usage Detail'!$B$5:$B$204="Gift")),ROW(A61))),"")</f>
        <v/>
      </c>
      <c r="B68" s="3">
        <f>IFERROR(INDEX('Usage Detail'!$B:$B,AGGREGATE(15,6,ROW('Usage Detail'!$A$5:$A$204)/(('Usage Detail'!$B$5:$B$204="Gift")),ROW(A61))),"")</f>
        <v/>
      </c>
      <c r="C68" s="3">
        <f>IFERROR(INDEX('Usage Detail'!$C:$C,AGGREGATE(15,6,ROW('Usage Detail'!$A$5:$A$204)/(('Usage Detail'!$B$5:$B$204="Gift")),ROW(A61))),"")</f>
        <v/>
      </c>
      <c r="D68" s="3">
        <f>IFERROR(INDEX('Usage Detail'!$D:$D,AGGREGATE(15,6,ROW('Usage Detail'!$A$5:$A$204)/(('Usage Detail'!$B$5:$B$204="Gift")),ROW(A61))),"")</f>
        <v/>
      </c>
      <c r="E68" s="4">
        <f>IFERROR(INDEX('Usage Detail'!$E:$E,AGGREGATE(15,6,ROW('Usage Detail'!$A$5:$A$204)/(('Usage Detail'!$B$5:$B$204="Gift")),ROW(A61))),"")</f>
        <v/>
      </c>
      <c r="F68" s="4">
        <f>IFERROR(INDEX('Usage Detail'!$F:$F,AGGREGATE(15,6,ROW('Usage Detail'!$A$5:$A$204)/(('Usage Detail'!$B$5:$B$204="Gift")),ROW(A61))),"")</f>
        <v/>
      </c>
      <c r="G68" s="4">
        <f>IFERROR(INDEX('Usage Detail'!$G:$G,AGGREGATE(15,6,ROW('Usage Detail'!$A$5:$A$204)/(('Usage Detail'!$B$5:$B$204="Gift")),ROW(A61))),"")</f>
        <v/>
      </c>
      <c r="H68" s="4">
        <f>IFERROR(INDEX('Usage Detail'!$H:$H,AGGREGATE(15,6,ROW('Usage Detail'!$A$5:$A$204)/(('Usage Detail'!$B$5:$B$204="Gift")),ROW(A61))),"")</f>
        <v/>
      </c>
    </row>
    <row r="69">
      <c r="A69" s="3">
        <f>IFERROR(INDEX('Usage Detail'!$A:$A,AGGREGATE(15,6,ROW('Usage Detail'!$A$5:$A$204)/(('Usage Detail'!$B$5:$B$204="Gift")),ROW(A62))),"")</f>
        <v/>
      </c>
      <c r="B69" s="3">
        <f>IFERROR(INDEX('Usage Detail'!$B:$B,AGGREGATE(15,6,ROW('Usage Detail'!$A$5:$A$204)/(('Usage Detail'!$B$5:$B$204="Gift")),ROW(A62))),"")</f>
        <v/>
      </c>
      <c r="C69" s="3">
        <f>IFERROR(INDEX('Usage Detail'!$C:$C,AGGREGATE(15,6,ROW('Usage Detail'!$A$5:$A$204)/(('Usage Detail'!$B$5:$B$204="Gift")),ROW(A62))),"")</f>
        <v/>
      </c>
      <c r="D69" s="3">
        <f>IFERROR(INDEX('Usage Detail'!$D:$D,AGGREGATE(15,6,ROW('Usage Detail'!$A$5:$A$204)/(('Usage Detail'!$B$5:$B$204="Gift")),ROW(A62))),"")</f>
        <v/>
      </c>
      <c r="E69" s="4">
        <f>IFERROR(INDEX('Usage Detail'!$E:$E,AGGREGATE(15,6,ROW('Usage Detail'!$A$5:$A$204)/(('Usage Detail'!$B$5:$B$204="Gift")),ROW(A62))),"")</f>
        <v/>
      </c>
      <c r="F69" s="4">
        <f>IFERROR(INDEX('Usage Detail'!$F:$F,AGGREGATE(15,6,ROW('Usage Detail'!$A$5:$A$204)/(('Usage Detail'!$B$5:$B$204="Gift")),ROW(A62))),"")</f>
        <v/>
      </c>
      <c r="G69" s="4">
        <f>IFERROR(INDEX('Usage Detail'!$G:$G,AGGREGATE(15,6,ROW('Usage Detail'!$A$5:$A$204)/(('Usage Detail'!$B$5:$B$204="Gift")),ROW(A62))),"")</f>
        <v/>
      </c>
      <c r="H69" s="4">
        <f>IFERROR(INDEX('Usage Detail'!$H:$H,AGGREGATE(15,6,ROW('Usage Detail'!$A$5:$A$204)/(('Usage Detail'!$B$5:$B$204="Gift")),ROW(A62))),"")</f>
        <v/>
      </c>
    </row>
    <row r="70">
      <c r="A70" s="3">
        <f>IFERROR(INDEX('Usage Detail'!$A:$A,AGGREGATE(15,6,ROW('Usage Detail'!$A$5:$A$204)/(('Usage Detail'!$B$5:$B$204="Gift")),ROW(A63))),"")</f>
        <v/>
      </c>
      <c r="B70" s="3">
        <f>IFERROR(INDEX('Usage Detail'!$B:$B,AGGREGATE(15,6,ROW('Usage Detail'!$A$5:$A$204)/(('Usage Detail'!$B$5:$B$204="Gift")),ROW(A63))),"")</f>
        <v/>
      </c>
      <c r="C70" s="3">
        <f>IFERROR(INDEX('Usage Detail'!$C:$C,AGGREGATE(15,6,ROW('Usage Detail'!$A$5:$A$204)/(('Usage Detail'!$B$5:$B$204="Gift")),ROW(A63))),"")</f>
        <v/>
      </c>
      <c r="D70" s="3">
        <f>IFERROR(INDEX('Usage Detail'!$D:$D,AGGREGATE(15,6,ROW('Usage Detail'!$A$5:$A$204)/(('Usage Detail'!$B$5:$B$204="Gift")),ROW(A63))),"")</f>
        <v/>
      </c>
      <c r="E70" s="4">
        <f>IFERROR(INDEX('Usage Detail'!$E:$E,AGGREGATE(15,6,ROW('Usage Detail'!$A$5:$A$204)/(('Usage Detail'!$B$5:$B$204="Gift")),ROW(A63))),"")</f>
        <v/>
      </c>
      <c r="F70" s="4">
        <f>IFERROR(INDEX('Usage Detail'!$F:$F,AGGREGATE(15,6,ROW('Usage Detail'!$A$5:$A$204)/(('Usage Detail'!$B$5:$B$204="Gift")),ROW(A63))),"")</f>
        <v/>
      </c>
      <c r="G70" s="4">
        <f>IFERROR(INDEX('Usage Detail'!$G:$G,AGGREGATE(15,6,ROW('Usage Detail'!$A$5:$A$204)/(('Usage Detail'!$B$5:$B$204="Gift")),ROW(A63))),"")</f>
        <v/>
      </c>
      <c r="H70" s="4">
        <f>IFERROR(INDEX('Usage Detail'!$H:$H,AGGREGATE(15,6,ROW('Usage Detail'!$A$5:$A$204)/(('Usage Detail'!$B$5:$B$204="Gift")),ROW(A63))),"")</f>
        <v/>
      </c>
    </row>
    <row r="71">
      <c r="A71" s="3">
        <f>IFERROR(INDEX('Usage Detail'!$A:$A,AGGREGATE(15,6,ROW('Usage Detail'!$A$5:$A$204)/(('Usage Detail'!$B$5:$B$204="Gift")),ROW(A64))),"")</f>
        <v/>
      </c>
      <c r="B71" s="3">
        <f>IFERROR(INDEX('Usage Detail'!$B:$B,AGGREGATE(15,6,ROW('Usage Detail'!$A$5:$A$204)/(('Usage Detail'!$B$5:$B$204="Gift")),ROW(A64))),"")</f>
        <v/>
      </c>
      <c r="C71" s="3">
        <f>IFERROR(INDEX('Usage Detail'!$C:$C,AGGREGATE(15,6,ROW('Usage Detail'!$A$5:$A$204)/(('Usage Detail'!$B$5:$B$204="Gift")),ROW(A64))),"")</f>
        <v/>
      </c>
      <c r="D71" s="3">
        <f>IFERROR(INDEX('Usage Detail'!$D:$D,AGGREGATE(15,6,ROW('Usage Detail'!$A$5:$A$204)/(('Usage Detail'!$B$5:$B$204="Gift")),ROW(A64))),"")</f>
        <v/>
      </c>
      <c r="E71" s="4">
        <f>IFERROR(INDEX('Usage Detail'!$E:$E,AGGREGATE(15,6,ROW('Usage Detail'!$A$5:$A$204)/(('Usage Detail'!$B$5:$B$204="Gift")),ROW(A64))),"")</f>
        <v/>
      </c>
      <c r="F71" s="4">
        <f>IFERROR(INDEX('Usage Detail'!$F:$F,AGGREGATE(15,6,ROW('Usage Detail'!$A$5:$A$204)/(('Usage Detail'!$B$5:$B$204="Gift")),ROW(A64))),"")</f>
        <v/>
      </c>
      <c r="G71" s="4">
        <f>IFERROR(INDEX('Usage Detail'!$G:$G,AGGREGATE(15,6,ROW('Usage Detail'!$A$5:$A$204)/(('Usage Detail'!$B$5:$B$204="Gift")),ROW(A64))),"")</f>
        <v/>
      </c>
      <c r="H71" s="4">
        <f>IFERROR(INDEX('Usage Detail'!$H:$H,AGGREGATE(15,6,ROW('Usage Detail'!$A$5:$A$204)/(('Usage Detail'!$B$5:$B$204="Gift")),ROW(A64))),"")</f>
        <v/>
      </c>
    </row>
    <row r="72">
      <c r="A72" s="3">
        <f>IFERROR(INDEX('Usage Detail'!$A:$A,AGGREGATE(15,6,ROW('Usage Detail'!$A$5:$A$204)/(('Usage Detail'!$B$5:$B$204="Gift")),ROW(A65))),"")</f>
        <v/>
      </c>
      <c r="B72" s="3">
        <f>IFERROR(INDEX('Usage Detail'!$B:$B,AGGREGATE(15,6,ROW('Usage Detail'!$A$5:$A$204)/(('Usage Detail'!$B$5:$B$204="Gift")),ROW(A65))),"")</f>
        <v/>
      </c>
      <c r="C72" s="3">
        <f>IFERROR(INDEX('Usage Detail'!$C:$C,AGGREGATE(15,6,ROW('Usage Detail'!$A$5:$A$204)/(('Usage Detail'!$B$5:$B$204="Gift")),ROW(A65))),"")</f>
        <v/>
      </c>
      <c r="D72" s="3">
        <f>IFERROR(INDEX('Usage Detail'!$D:$D,AGGREGATE(15,6,ROW('Usage Detail'!$A$5:$A$204)/(('Usage Detail'!$B$5:$B$204="Gift")),ROW(A65))),"")</f>
        <v/>
      </c>
      <c r="E72" s="4">
        <f>IFERROR(INDEX('Usage Detail'!$E:$E,AGGREGATE(15,6,ROW('Usage Detail'!$A$5:$A$204)/(('Usage Detail'!$B$5:$B$204="Gift")),ROW(A65))),"")</f>
        <v/>
      </c>
      <c r="F72" s="4">
        <f>IFERROR(INDEX('Usage Detail'!$F:$F,AGGREGATE(15,6,ROW('Usage Detail'!$A$5:$A$204)/(('Usage Detail'!$B$5:$B$204="Gift")),ROW(A65))),"")</f>
        <v/>
      </c>
      <c r="G72" s="4">
        <f>IFERROR(INDEX('Usage Detail'!$G:$G,AGGREGATE(15,6,ROW('Usage Detail'!$A$5:$A$204)/(('Usage Detail'!$B$5:$B$204="Gift")),ROW(A65))),"")</f>
        <v/>
      </c>
      <c r="H72" s="4">
        <f>IFERROR(INDEX('Usage Detail'!$H:$H,AGGREGATE(15,6,ROW('Usage Detail'!$A$5:$A$204)/(('Usage Detail'!$B$5:$B$204="Gift")),ROW(A65))),"")</f>
        <v/>
      </c>
    </row>
    <row r="73">
      <c r="A73" s="3">
        <f>IFERROR(INDEX('Usage Detail'!$A:$A,AGGREGATE(15,6,ROW('Usage Detail'!$A$5:$A$204)/(('Usage Detail'!$B$5:$B$204="Gift")),ROW(A66))),"")</f>
        <v/>
      </c>
      <c r="B73" s="3">
        <f>IFERROR(INDEX('Usage Detail'!$B:$B,AGGREGATE(15,6,ROW('Usage Detail'!$A$5:$A$204)/(('Usage Detail'!$B$5:$B$204="Gift")),ROW(A66))),"")</f>
        <v/>
      </c>
      <c r="C73" s="3">
        <f>IFERROR(INDEX('Usage Detail'!$C:$C,AGGREGATE(15,6,ROW('Usage Detail'!$A$5:$A$204)/(('Usage Detail'!$B$5:$B$204="Gift")),ROW(A66))),"")</f>
        <v/>
      </c>
      <c r="D73" s="3">
        <f>IFERROR(INDEX('Usage Detail'!$D:$D,AGGREGATE(15,6,ROW('Usage Detail'!$A$5:$A$204)/(('Usage Detail'!$B$5:$B$204="Gift")),ROW(A66))),"")</f>
        <v/>
      </c>
      <c r="E73" s="4">
        <f>IFERROR(INDEX('Usage Detail'!$E:$E,AGGREGATE(15,6,ROW('Usage Detail'!$A$5:$A$204)/(('Usage Detail'!$B$5:$B$204="Gift")),ROW(A66))),"")</f>
        <v/>
      </c>
      <c r="F73" s="4">
        <f>IFERROR(INDEX('Usage Detail'!$F:$F,AGGREGATE(15,6,ROW('Usage Detail'!$A$5:$A$204)/(('Usage Detail'!$B$5:$B$204="Gift")),ROW(A66))),"")</f>
        <v/>
      </c>
      <c r="G73" s="4">
        <f>IFERROR(INDEX('Usage Detail'!$G:$G,AGGREGATE(15,6,ROW('Usage Detail'!$A$5:$A$204)/(('Usage Detail'!$B$5:$B$204="Gift")),ROW(A66))),"")</f>
        <v/>
      </c>
      <c r="H73" s="4">
        <f>IFERROR(INDEX('Usage Detail'!$H:$H,AGGREGATE(15,6,ROW('Usage Detail'!$A$5:$A$204)/(('Usage Detail'!$B$5:$B$204="Gift")),ROW(A66))),"")</f>
        <v/>
      </c>
    </row>
    <row r="74">
      <c r="A74" s="3">
        <f>IFERROR(INDEX('Usage Detail'!$A:$A,AGGREGATE(15,6,ROW('Usage Detail'!$A$5:$A$204)/(('Usage Detail'!$B$5:$B$204="Gift")),ROW(A67))),"")</f>
        <v/>
      </c>
      <c r="B74" s="3">
        <f>IFERROR(INDEX('Usage Detail'!$B:$B,AGGREGATE(15,6,ROW('Usage Detail'!$A$5:$A$204)/(('Usage Detail'!$B$5:$B$204="Gift")),ROW(A67))),"")</f>
        <v/>
      </c>
      <c r="C74" s="3">
        <f>IFERROR(INDEX('Usage Detail'!$C:$C,AGGREGATE(15,6,ROW('Usage Detail'!$A$5:$A$204)/(('Usage Detail'!$B$5:$B$204="Gift")),ROW(A67))),"")</f>
        <v/>
      </c>
      <c r="D74" s="3">
        <f>IFERROR(INDEX('Usage Detail'!$D:$D,AGGREGATE(15,6,ROW('Usage Detail'!$A$5:$A$204)/(('Usage Detail'!$B$5:$B$204="Gift")),ROW(A67))),"")</f>
        <v/>
      </c>
      <c r="E74" s="4">
        <f>IFERROR(INDEX('Usage Detail'!$E:$E,AGGREGATE(15,6,ROW('Usage Detail'!$A$5:$A$204)/(('Usage Detail'!$B$5:$B$204="Gift")),ROW(A67))),"")</f>
        <v/>
      </c>
      <c r="F74" s="4">
        <f>IFERROR(INDEX('Usage Detail'!$F:$F,AGGREGATE(15,6,ROW('Usage Detail'!$A$5:$A$204)/(('Usage Detail'!$B$5:$B$204="Gift")),ROW(A67))),"")</f>
        <v/>
      </c>
      <c r="G74" s="4">
        <f>IFERROR(INDEX('Usage Detail'!$G:$G,AGGREGATE(15,6,ROW('Usage Detail'!$A$5:$A$204)/(('Usage Detail'!$B$5:$B$204="Gift")),ROW(A67))),"")</f>
        <v/>
      </c>
      <c r="H74" s="4">
        <f>IFERROR(INDEX('Usage Detail'!$H:$H,AGGREGATE(15,6,ROW('Usage Detail'!$A$5:$A$204)/(('Usage Detail'!$B$5:$B$204="Gift")),ROW(A67))),"")</f>
        <v/>
      </c>
    </row>
    <row r="75">
      <c r="A75" s="3">
        <f>IFERROR(INDEX('Usage Detail'!$A:$A,AGGREGATE(15,6,ROW('Usage Detail'!$A$5:$A$204)/(('Usage Detail'!$B$5:$B$204="Gift")),ROW(A68))),"")</f>
        <v/>
      </c>
      <c r="B75" s="3">
        <f>IFERROR(INDEX('Usage Detail'!$B:$B,AGGREGATE(15,6,ROW('Usage Detail'!$A$5:$A$204)/(('Usage Detail'!$B$5:$B$204="Gift")),ROW(A68))),"")</f>
        <v/>
      </c>
      <c r="C75" s="3">
        <f>IFERROR(INDEX('Usage Detail'!$C:$C,AGGREGATE(15,6,ROW('Usage Detail'!$A$5:$A$204)/(('Usage Detail'!$B$5:$B$204="Gift")),ROW(A68))),"")</f>
        <v/>
      </c>
      <c r="D75" s="3">
        <f>IFERROR(INDEX('Usage Detail'!$D:$D,AGGREGATE(15,6,ROW('Usage Detail'!$A$5:$A$204)/(('Usage Detail'!$B$5:$B$204="Gift")),ROW(A68))),"")</f>
        <v/>
      </c>
      <c r="E75" s="4">
        <f>IFERROR(INDEX('Usage Detail'!$E:$E,AGGREGATE(15,6,ROW('Usage Detail'!$A$5:$A$204)/(('Usage Detail'!$B$5:$B$204="Gift")),ROW(A68))),"")</f>
        <v/>
      </c>
      <c r="F75" s="4">
        <f>IFERROR(INDEX('Usage Detail'!$F:$F,AGGREGATE(15,6,ROW('Usage Detail'!$A$5:$A$204)/(('Usage Detail'!$B$5:$B$204="Gift")),ROW(A68))),"")</f>
        <v/>
      </c>
      <c r="G75" s="4">
        <f>IFERROR(INDEX('Usage Detail'!$G:$G,AGGREGATE(15,6,ROW('Usage Detail'!$A$5:$A$204)/(('Usage Detail'!$B$5:$B$204="Gift")),ROW(A68))),"")</f>
        <v/>
      </c>
      <c r="H75" s="4">
        <f>IFERROR(INDEX('Usage Detail'!$H:$H,AGGREGATE(15,6,ROW('Usage Detail'!$A$5:$A$204)/(('Usage Detail'!$B$5:$B$204="Gift")),ROW(A68))),"")</f>
        <v/>
      </c>
    </row>
    <row r="76">
      <c r="A76" s="3">
        <f>IFERROR(INDEX('Usage Detail'!$A:$A,AGGREGATE(15,6,ROW('Usage Detail'!$A$5:$A$204)/(('Usage Detail'!$B$5:$B$204="Gift")),ROW(A69))),"")</f>
        <v/>
      </c>
      <c r="B76" s="3">
        <f>IFERROR(INDEX('Usage Detail'!$B:$B,AGGREGATE(15,6,ROW('Usage Detail'!$A$5:$A$204)/(('Usage Detail'!$B$5:$B$204="Gift")),ROW(A69))),"")</f>
        <v/>
      </c>
      <c r="C76" s="3">
        <f>IFERROR(INDEX('Usage Detail'!$C:$C,AGGREGATE(15,6,ROW('Usage Detail'!$A$5:$A$204)/(('Usage Detail'!$B$5:$B$204="Gift")),ROW(A69))),"")</f>
        <v/>
      </c>
      <c r="D76" s="3">
        <f>IFERROR(INDEX('Usage Detail'!$D:$D,AGGREGATE(15,6,ROW('Usage Detail'!$A$5:$A$204)/(('Usage Detail'!$B$5:$B$204="Gift")),ROW(A69))),"")</f>
        <v/>
      </c>
      <c r="E76" s="4">
        <f>IFERROR(INDEX('Usage Detail'!$E:$E,AGGREGATE(15,6,ROW('Usage Detail'!$A$5:$A$204)/(('Usage Detail'!$B$5:$B$204="Gift")),ROW(A69))),"")</f>
        <v/>
      </c>
      <c r="F76" s="4">
        <f>IFERROR(INDEX('Usage Detail'!$F:$F,AGGREGATE(15,6,ROW('Usage Detail'!$A$5:$A$204)/(('Usage Detail'!$B$5:$B$204="Gift")),ROW(A69))),"")</f>
        <v/>
      </c>
      <c r="G76" s="4">
        <f>IFERROR(INDEX('Usage Detail'!$G:$G,AGGREGATE(15,6,ROW('Usage Detail'!$A$5:$A$204)/(('Usage Detail'!$B$5:$B$204="Gift")),ROW(A69))),"")</f>
        <v/>
      </c>
      <c r="H76" s="4">
        <f>IFERROR(INDEX('Usage Detail'!$H:$H,AGGREGATE(15,6,ROW('Usage Detail'!$A$5:$A$204)/(('Usage Detail'!$B$5:$B$204="Gift")),ROW(A69))),"")</f>
        <v/>
      </c>
    </row>
    <row r="77">
      <c r="A77" s="3">
        <f>IFERROR(INDEX('Usage Detail'!$A:$A,AGGREGATE(15,6,ROW('Usage Detail'!$A$5:$A$204)/(('Usage Detail'!$B$5:$B$204="Gift")),ROW(A70))),"")</f>
        <v/>
      </c>
      <c r="B77" s="3">
        <f>IFERROR(INDEX('Usage Detail'!$B:$B,AGGREGATE(15,6,ROW('Usage Detail'!$A$5:$A$204)/(('Usage Detail'!$B$5:$B$204="Gift")),ROW(A70))),"")</f>
        <v/>
      </c>
      <c r="C77" s="3">
        <f>IFERROR(INDEX('Usage Detail'!$C:$C,AGGREGATE(15,6,ROW('Usage Detail'!$A$5:$A$204)/(('Usage Detail'!$B$5:$B$204="Gift")),ROW(A70))),"")</f>
        <v/>
      </c>
      <c r="D77" s="3">
        <f>IFERROR(INDEX('Usage Detail'!$D:$D,AGGREGATE(15,6,ROW('Usage Detail'!$A$5:$A$204)/(('Usage Detail'!$B$5:$B$204="Gift")),ROW(A70))),"")</f>
        <v/>
      </c>
      <c r="E77" s="4">
        <f>IFERROR(INDEX('Usage Detail'!$E:$E,AGGREGATE(15,6,ROW('Usage Detail'!$A$5:$A$204)/(('Usage Detail'!$B$5:$B$204="Gift")),ROW(A70))),"")</f>
        <v/>
      </c>
      <c r="F77" s="4">
        <f>IFERROR(INDEX('Usage Detail'!$F:$F,AGGREGATE(15,6,ROW('Usage Detail'!$A$5:$A$204)/(('Usage Detail'!$B$5:$B$204="Gift")),ROW(A70))),"")</f>
        <v/>
      </c>
      <c r="G77" s="4">
        <f>IFERROR(INDEX('Usage Detail'!$G:$G,AGGREGATE(15,6,ROW('Usage Detail'!$A$5:$A$204)/(('Usage Detail'!$B$5:$B$204="Gift")),ROW(A70))),"")</f>
        <v/>
      </c>
      <c r="H77" s="4">
        <f>IFERROR(INDEX('Usage Detail'!$H:$H,AGGREGATE(15,6,ROW('Usage Detail'!$A$5:$A$204)/(('Usage Detail'!$B$5:$B$204="Gift")),ROW(A70))),"")</f>
        <v/>
      </c>
    </row>
    <row r="78">
      <c r="A78" s="3">
        <f>IFERROR(INDEX('Usage Detail'!$A:$A,AGGREGATE(15,6,ROW('Usage Detail'!$A$5:$A$204)/(('Usage Detail'!$B$5:$B$204="Gift")),ROW(A71))),"")</f>
        <v/>
      </c>
      <c r="B78" s="3">
        <f>IFERROR(INDEX('Usage Detail'!$B:$B,AGGREGATE(15,6,ROW('Usage Detail'!$A$5:$A$204)/(('Usage Detail'!$B$5:$B$204="Gift")),ROW(A71))),"")</f>
        <v/>
      </c>
      <c r="C78" s="3">
        <f>IFERROR(INDEX('Usage Detail'!$C:$C,AGGREGATE(15,6,ROW('Usage Detail'!$A$5:$A$204)/(('Usage Detail'!$B$5:$B$204="Gift")),ROW(A71))),"")</f>
        <v/>
      </c>
      <c r="D78" s="3">
        <f>IFERROR(INDEX('Usage Detail'!$D:$D,AGGREGATE(15,6,ROW('Usage Detail'!$A$5:$A$204)/(('Usage Detail'!$B$5:$B$204="Gift")),ROW(A71))),"")</f>
        <v/>
      </c>
      <c r="E78" s="4">
        <f>IFERROR(INDEX('Usage Detail'!$E:$E,AGGREGATE(15,6,ROW('Usage Detail'!$A$5:$A$204)/(('Usage Detail'!$B$5:$B$204="Gift")),ROW(A71))),"")</f>
        <v/>
      </c>
      <c r="F78" s="4">
        <f>IFERROR(INDEX('Usage Detail'!$F:$F,AGGREGATE(15,6,ROW('Usage Detail'!$A$5:$A$204)/(('Usage Detail'!$B$5:$B$204="Gift")),ROW(A71))),"")</f>
        <v/>
      </c>
      <c r="G78" s="4">
        <f>IFERROR(INDEX('Usage Detail'!$G:$G,AGGREGATE(15,6,ROW('Usage Detail'!$A$5:$A$204)/(('Usage Detail'!$B$5:$B$204="Gift")),ROW(A71))),"")</f>
        <v/>
      </c>
      <c r="H78" s="4">
        <f>IFERROR(INDEX('Usage Detail'!$H:$H,AGGREGATE(15,6,ROW('Usage Detail'!$A$5:$A$204)/(('Usage Detail'!$B$5:$B$204="Gift")),ROW(A71))),"")</f>
        <v/>
      </c>
    </row>
    <row r="79">
      <c r="A79" s="3">
        <f>IFERROR(INDEX('Usage Detail'!$A:$A,AGGREGATE(15,6,ROW('Usage Detail'!$A$5:$A$204)/(('Usage Detail'!$B$5:$B$204="Gift")),ROW(A72))),"")</f>
        <v/>
      </c>
      <c r="B79" s="3">
        <f>IFERROR(INDEX('Usage Detail'!$B:$B,AGGREGATE(15,6,ROW('Usage Detail'!$A$5:$A$204)/(('Usage Detail'!$B$5:$B$204="Gift")),ROW(A72))),"")</f>
        <v/>
      </c>
      <c r="C79" s="3">
        <f>IFERROR(INDEX('Usage Detail'!$C:$C,AGGREGATE(15,6,ROW('Usage Detail'!$A$5:$A$204)/(('Usage Detail'!$B$5:$B$204="Gift")),ROW(A72))),"")</f>
        <v/>
      </c>
      <c r="D79" s="3">
        <f>IFERROR(INDEX('Usage Detail'!$D:$D,AGGREGATE(15,6,ROW('Usage Detail'!$A$5:$A$204)/(('Usage Detail'!$B$5:$B$204="Gift")),ROW(A72))),"")</f>
        <v/>
      </c>
      <c r="E79" s="4">
        <f>IFERROR(INDEX('Usage Detail'!$E:$E,AGGREGATE(15,6,ROW('Usage Detail'!$A$5:$A$204)/(('Usage Detail'!$B$5:$B$204="Gift")),ROW(A72))),"")</f>
        <v/>
      </c>
      <c r="F79" s="4">
        <f>IFERROR(INDEX('Usage Detail'!$F:$F,AGGREGATE(15,6,ROW('Usage Detail'!$A$5:$A$204)/(('Usage Detail'!$B$5:$B$204="Gift")),ROW(A72))),"")</f>
        <v/>
      </c>
      <c r="G79" s="4">
        <f>IFERROR(INDEX('Usage Detail'!$G:$G,AGGREGATE(15,6,ROW('Usage Detail'!$A$5:$A$204)/(('Usage Detail'!$B$5:$B$204="Gift")),ROW(A72))),"")</f>
        <v/>
      </c>
      <c r="H79" s="4">
        <f>IFERROR(INDEX('Usage Detail'!$H:$H,AGGREGATE(15,6,ROW('Usage Detail'!$A$5:$A$204)/(('Usage Detail'!$B$5:$B$204="Gift")),ROW(A72))),"")</f>
        <v/>
      </c>
    </row>
    <row r="80">
      <c r="A80" s="3">
        <f>IFERROR(INDEX('Usage Detail'!$A:$A,AGGREGATE(15,6,ROW('Usage Detail'!$A$5:$A$204)/(('Usage Detail'!$B$5:$B$204="Gift")),ROW(A73))),"")</f>
        <v/>
      </c>
      <c r="B80" s="3">
        <f>IFERROR(INDEX('Usage Detail'!$B:$B,AGGREGATE(15,6,ROW('Usage Detail'!$A$5:$A$204)/(('Usage Detail'!$B$5:$B$204="Gift")),ROW(A73))),"")</f>
        <v/>
      </c>
      <c r="C80" s="3">
        <f>IFERROR(INDEX('Usage Detail'!$C:$C,AGGREGATE(15,6,ROW('Usage Detail'!$A$5:$A$204)/(('Usage Detail'!$B$5:$B$204="Gift")),ROW(A73))),"")</f>
        <v/>
      </c>
      <c r="D80" s="3">
        <f>IFERROR(INDEX('Usage Detail'!$D:$D,AGGREGATE(15,6,ROW('Usage Detail'!$A$5:$A$204)/(('Usage Detail'!$B$5:$B$204="Gift")),ROW(A73))),"")</f>
        <v/>
      </c>
      <c r="E80" s="4">
        <f>IFERROR(INDEX('Usage Detail'!$E:$E,AGGREGATE(15,6,ROW('Usage Detail'!$A$5:$A$204)/(('Usage Detail'!$B$5:$B$204="Gift")),ROW(A73))),"")</f>
        <v/>
      </c>
      <c r="F80" s="4">
        <f>IFERROR(INDEX('Usage Detail'!$F:$F,AGGREGATE(15,6,ROW('Usage Detail'!$A$5:$A$204)/(('Usage Detail'!$B$5:$B$204="Gift")),ROW(A73))),"")</f>
        <v/>
      </c>
      <c r="G80" s="4">
        <f>IFERROR(INDEX('Usage Detail'!$G:$G,AGGREGATE(15,6,ROW('Usage Detail'!$A$5:$A$204)/(('Usage Detail'!$B$5:$B$204="Gift")),ROW(A73))),"")</f>
        <v/>
      </c>
      <c r="H80" s="4">
        <f>IFERROR(INDEX('Usage Detail'!$H:$H,AGGREGATE(15,6,ROW('Usage Detail'!$A$5:$A$204)/(('Usage Detail'!$B$5:$B$204="Gift")),ROW(A73))),"")</f>
        <v/>
      </c>
    </row>
    <row r="81">
      <c r="A81" s="3">
        <f>IFERROR(INDEX('Usage Detail'!$A:$A,AGGREGATE(15,6,ROW('Usage Detail'!$A$5:$A$204)/(('Usage Detail'!$B$5:$B$204="Gift")),ROW(A74))),"")</f>
        <v/>
      </c>
      <c r="B81" s="3">
        <f>IFERROR(INDEX('Usage Detail'!$B:$B,AGGREGATE(15,6,ROW('Usage Detail'!$A$5:$A$204)/(('Usage Detail'!$B$5:$B$204="Gift")),ROW(A74))),"")</f>
        <v/>
      </c>
      <c r="C81" s="3">
        <f>IFERROR(INDEX('Usage Detail'!$C:$C,AGGREGATE(15,6,ROW('Usage Detail'!$A$5:$A$204)/(('Usage Detail'!$B$5:$B$204="Gift")),ROW(A74))),"")</f>
        <v/>
      </c>
      <c r="D81" s="3">
        <f>IFERROR(INDEX('Usage Detail'!$D:$D,AGGREGATE(15,6,ROW('Usage Detail'!$A$5:$A$204)/(('Usage Detail'!$B$5:$B$204="Gift")),ROW(A74))),"")</f>
        <v/>
      </c>
      <c r="E81" s="4">
        <f>IFERROR(INDEX('Usage Detail'!$E:$E,AGGREGATE(15,6,ROW('Usage Detail'!$A$5:$A$204)/(('Usage Detail'!$B$5:$B$204="Gift")),ROW(A74))),"")</f>
        <v/>
      </c>
      <c r="F81" s="4">
        <f>IFERROR(INDEX('Usage Detail'!$F:$F,AGGREGATE(15,6,ROW('Usage Detail'!$A$5:$A$204)/(('Usage Detail'!$B$5:$B$204="Gift")),ROW(A74))),"")</f>
        <v/>
      </c>
      <c r="G81" s="4">
        <f>IFERROR(INDEX('Usage Detail'!$G:$G,AGGREGATE(15,6,ROW('Usage Detail'!$A$5:$A$204)/(('Usage Detail'!$B$5:$B$204="Gift")),ROW(A74))),"")</f>
        <v/>
      </c>
      <c r="H81" s="4">
        <f>IFERROR(INDEX('Usage Detail'!$H:$H,AGGREGATE(15,6,ROW('Usage Detail'!$A$5:$A$204)/(('Usage Detail'!$B$5:$B$204="Gift")),ROW(A74))),"")</f>
        <v/>
      </c>
    </row>
    <row r="82">
      <c r="A82" s="3">
        <f>IFERROR(INDEX('Usage Detail'!$A:$A,AGGREGATE(15,6,ROW('Usage Detail'!$A$5:$A$204)/(('Usage Detail'!$B$5:$B$204="Gift")),ROW(A75))),"")</f>
        <v/>
      </c>
      <c r="B82" s="3">
        <f>IFERROR(INDEX('Usage Detail'!$B:$B,AGGREGATE(15,6,ROW('Usage Detail'!$A$5:$A$204)/(('Usage Detail'!$B$5:$B$204="Gift")),ROW(A75))),"")</f>
        <v/>
      </c>
      <c r="C82" s="3">
        <f>IFERROR(INDEX('Usage Detail'!$C:$C,AGGREGATE(15,6,ROW('Usage Detail'!$A$5:$A$204)/(('Usage Detail'!$B$5:$B$204="Gift")),ROW(A75))),"")</f>
        <v/>
      </c>
      <c r="D82" s="3">
        <f>IFERROR(INDEX('Usage Detail'!$D:$D,AGGREGATE(15,6,ROW('Usage Detail'!$A$5:$A$204)/(('Usage Detail'!$B$5:$B$204="Gift")),ROW(A75))),"")</f>
        <v/>
      </c>
      <c r="E82" s="4">
        <f>IFERROR(INDEX('Usage Detail'!$E:$E,AGGREGATE(15,6,ROW('Usage Detail'!$A$5:$A$204)/(('Usage Detail'!$B$5:$B$204="Gift")),ROW(A75))),"")</f>
        <v/>
      </c>
      <c r="F82" s="4">
        <f>IFERROR(INDEX('Usage Detail'!$F:$F,AGGREGATE(15,6,ROW('Usage Detail'!$A$5:$A$204)/(('Usage Detail'!$B$5:$B$204="Gift")),ROW(A75))),"")</f>
        <v/>
      </c>
      <c r="G82" s="4">
        <f>IFERROR(INDEX('Usage Detail'!$G:$G,AGGREGATE(15,6,ROW('Usage Detail'!$A$5:$A$204)/(('Usage Detail'!$B$5:$B$204="Gift")),ROW(A75))),"")</f>
        <v/>
      </c>
      <c r="H82" s="4">
        <f>IFERROR(INDEX('Usage Detail'!$H:$H,AGGREGATE(15,6,ROW('Usage Detail'!$A$5:$A$204)/(('Usage Detail'!$B$5:$B$204="Gift")),ROW(A75))),"")</f>
        <v/>
      </c>
    </row>
    <row r="83">
      <c r="A83" s="3">
        <f>IFERROR(INDEX('Usage Detail'!$A:$A,AGGREGATE(15,6,ROW('Usage Detail'!$A$5:$A$204)/(('Usage Detail'!$B$5:$B$204="Gift")),ROW(A76))),"")</f>
        <v/>
      </c>
      <c r="B83" s="3">
        <f>IFERROR(INDEX('Usage Detail'!$B:$B,AGGREGATE(15,6,ROW('Usage Detail'!$A$5:$A$204)/(('Usage Detail'!$B$5:$B$204="Gift")),ROW(A76))),"")</f>
        <v/>
      </c>
      <c r="C83" s="3">
        <f>IFERROR(INDEX('Usage Detail'!$C:$C,AGGREGATE(15,6,ROW('Usage Detail'!$A$5:$A$204)/(('Usage Detail'!$B$5:$B$204="Gift")),ROW(A76))),"")</f>
        <v/>
      </c>
      <c r="D83" s="3">
        <f>IFERROR(INDEX('Usage Detail'!$D:$D,AGGREGATE(15,6,ROW('Usage Detail'!$A$5:$A$204)/(('Usage Detail'!$B$5:$B$204="Gift")),ROW(A76))),"")</f>
        <v/>
      </c>
      <c r="E83" s="4">
        <f>IFERROR(INDEX('Usage Detail'!$E:$E,AGGREGATE(15,6,ROW('Usage Detail'!$A$5:$A$204)/(('Usage Detail'!$B$5:$B$204="Gift")),ROW(A76))),"")</f>
        <v/>
      </c>
      <c r="F83" s="4">
        <f>IFERROR(INDEX('Usage Detail'!$F:$F,AGGREGATE(15,6,ROW('Usage Detail'!$A$5:$A$204)/(('Usage Detail'!$B$5:$B$204="Gift")),ROW(A76))),"")</f>
        <v/>
      </c>
      <c r="G83" s="4">
        <f>IFERROR(INDEX('Usage Detail'!$G:$G,AGGREGATE(15,6,ROW('Usage Detail'!$A$5:$A$204)/(('Usage Detail'!$B$5:$B$204="Gift")),ROW(A76))),"")</f>
        <v/>
      </c>
      <c r="H83" s="4">
        <f>IFERROR(INDEX('Usage Detail'!$H:$H,AGGREGATE(15,6,ROW('Usage Detail'!$A$5:$A$204)/(('Usage Detail'!$B$5:$B$204="Gift")),ROW(A76))),"")</f>
        <v/>
      </c>
    </row>
    <row r="84">
      <c r="A84" s="3">
        <f>IFERROR(INDEX('Usage Detail'!$A:$A,AGGREGATE(15,6,ROW('Usage Detail'!$A$5:$A$204)/(('Usage Detail'!$B$5:$B$204="Gift")),ROW(A77))),"")</f>
        <v/>
      </c>
      <c r="B84" s="3">
        <f>IFERROR(INDEX('Usage Detail'!$B:$B,AGGREGATE(15,6,ROW('Usage Detail'!$A$5:$A$204)/(('Usage Detail'!$B$5:$B$204="Gift")),ROW(A77))),"")</f>
        <v/>
      </c>
      <c r="C84" s="3">
        <f>IFERROR(INDEX('Usage Detail'!$C:$C,AGGREGATE(15,6,ROW('Usage Detail'!$A$5:$A$204)/(('Usage Detail'!$B$5:$B$204="Gift")),ROW(A77))),"")</f>
        <v/>
      </c>
      <c r="D84" s="3">
        <f>IFERROR(INDEX('Usage Detail'!$D:$D,AGGREGATE(15,6,ROW('Usage Detail'!$A$5:$A$204)/(('Usage Detail'!$B$5:$B$204="Gift")),ROW(A77))),"")</f>
        <v/>
      </c>
      <c r="E84" s="4">
        <f>IFERROR(INDEX('Usage Detail'!$E:$E,AGGREGATE(15,6,ROW('Usage Detail'!$A$5:$A$204)/(('Usage Detail'!$B$5:$B$204="Gift")),ROW(A77))),"")</f>
        <v/>
      </c>
      <c r="F84" s="4">
        <f>IFERROR(INDEX('Usage Detail'!$F:$F,AGGREGATE(15,6,ROW('Usage Detail'!$A$5:$A$204)/(('Usage Detail'!$B$5:$B$204="Gift")),ROW(A77))),"")</f>
        <v/>
      </c>
      <c r="G84" s="4">
        <f>IFERROR(INDEX('Usage Detail'!$G:$G,AGGREGATE(15,6,ROW('Usage Detail'!$A$5:$A$204)/(('Usage Detail'!$B$5:$B$204="Gift")),ROW(A77))),"")</f>
        <v/>
      </c>
      <c r="H84" s="4">
        <f>IFERROR(INDEX('Usage Detail'!$H:$H,AGGREGATE(15,6,ROW('Usage Detail'!$A$5:$A$204)/(('Usage Detail'!$B$5:$B$204="Gift")),ROW(A77))),"")</f>
        <v/>
      </c>
    </row>
    <row r="85">
      <c r="A85" s="3">
        <f>IFERROR(INDEX('Usage Detail'!$A:$A,AGGREGATE(15,6,ROW('Usage Detail'!$A$5:$A$204)/(('Usage Detail'!$B$5:$B$204="Gift")),ROW(A78))),"")</f>
        <v/>
      </c>
      <c r="B85" s="3">
        <f>IFERROR(INDEX('Usage Detail'!$B:$B,AGGREGATE(15,6,ROW('Usage Detail'!$A$5:$A$204)/(('Usage Detail'!$B$5:$B$204="Gift")),ROW(A78))),"")</f>
        <v/>
      </c>
      <c r="C85" s="3">
        <f>IFERROR(INDEX('Usage Detail'!$C:$C,AGGREGATE(15,6,ROW('Usage Detail'!$A$5:$A$204)/(('Usage Detail'!$B$5:$B$204="Gift")),ROW(A78))),"")</f>
        <v/>
      </c>
      <c r="D85" s="3">
        <f>IFERROR(INDEX('Usage Detail'!$D:$D,AGGREGATE(15,6,ROW('Usage Detail'!$A$5:$A$204)/(('Usage Detail'!$B$5:$B$204="Gift")),ROW(A78))),"")</f>
        <v/>
      </c>
      <c r="E85" s="4">
        <f>IFERROR(INDEX('Usage Detail'!$E:$E,AGGREGATE(15,6,ROW('Usage Detail'!$A$5:$A$204)/(('Usage Detail'!$B$5:$B$204="Gift")),ROW(A78))),"")</f>
        <v/>
      </c>
      <c r="F85" s="4">
        <f>IFERROR(INDEX('Usage Detail'!$F:$F,AGGREGATE(15,6,ROW('Usage Detail'!$A$5:$A$204)/(('Usage Detail'!$B$5:$B$204="Gift")),ROW(A78))),"")</f>
        <v/>
      </c>
      <c r="G85" s="4">
        <f>IFERROR(INDEX('Usage Detail'!$G:$G,AGGREGATE(15,6,ROW('Usage Detail'!$A$5:$A$204)/(('Usage Detail'!$B$5:$B$204="Gift")),ROW(A78))),"")</f>
        <v/>
      </c>
      <c r="H85" s="4">
        <f>IFERROR(INDEX('Usage Detail'!$H:$H,AGGREGATE(15,6,ROW('Usage Detail'!$A$5:$A$204)/(('Usage Detail'!$B$5:$B$204="Gift")),ROW(A78))),"")</f>
        <v/>
      </c>
    </row>
    <row r="86">
      <c r="A86" s="3">
        <f>IFERROR(INDEX('Usage Detail'!$A:$A,AGGREGATE(15,6,ROW('Usage Detail'!$A$5:$A$204)/(('Usage Detail'!$B$5:$B$204="Gift")),ROW(A79))),"")</f>
        <v/>
      </c>
      <c r="B86" s="3">
        <f>IFERROR(INDEX('Usage Detail'!$B:$B,AGGREGATE(15,6,ROW('Usage Detail'!$A$5:$A$204)/(('Usage Detail'!$B$5:$B$204="Gift")),ROW(A79))),"")</f>
        <v/>
      </c>
      <c r="C86" s="3">
        <f>IFERROR(INDEX('Usage Detail'!$C:$C,AGGREGATE(15,6,ROW('Usage Detail'!$A$5:$A$204)/(('Usage Detail'!$B$5:$B$204="Gift")),ROW(A79))),"")</f>
        <v/>
      </c>
      <c r="D86" s="3">
        <f>IFERROR(INDEX('Usage Detail'!$D:$D,AGGREGATE(15,6,ROW('Usage Detail'!$A$5:$A$204)/(('Usage Detail'!$B$5:$B$204="Gift")),ROW(A79))),"")</f>
        <v/>
      </c>
      <c r="E86" s="4">
        <f>IFERROR(INDEX('Usage Detail'!$E:$E,AGGREGATE(15,6,ROW('Usage Detail'!$A$5:$A$204)/(('Usage Detail'!$B$5:$B$204="Gift")),ROW(A79))),"")</f>
        <v/>
      </c>
      <c r="F86" s="4">
        <f>IFERROR(INDEX('Usage Detail'!$F:$F,AGGREGATE(15,6,ROW('Usage Detail'!$A$5:$A$204)/(('Usage Detail'!$B$5:$B$204="Gift")),ROW(A79))),"")</f>
        <v/>
      </c>
      <c r="G86" s="4">
        <f>IFERROR(INDEX('Usage Detail'!$G:$G,AGGREGATE(15,6,ROW('Usage Detail'!$A$5:$A$204)/(('Usage Detail'!$B$5:$B$204="Gift")),ROW(A79))),"")</f>
        <v/>
      </c>
      <c r="H86" s="4">
        <f>IFERROR(INDEX('Usage Detail'!$H:$H,AGGREGATE(15,6,ROW('Usage Detail'!$A$5:$A$204)/(('Usage Detail'!$B$5:$B$204="Gift")),ROW(A79))),"")</f>
        <v/>
      </c>
    </row>
    <row r="87">
      <c r="A87" s="3">
        <f>IFERROR(INDEX('Usage Detail'!$A:$A,AGGREGATE(15,6,ROW('Usage Detail'!$A$5:$A$204)/(('Usage Detail'!$B$5:$B$204="Gift")),ROW(A80))),"")</f>
        <v/>
      </c>
      <c r="B87" s="3">
        <f>IFERROR(INDEX('Usage Detail'!$B:$B,AGGREGATE(15,6,ROW('Usage Detail'!$A$5:$A$204)/(('Usage Detail'!$B$5:$B$204="Gift")),ROW(A80))),"")</f>
        <v/>
      </c>
      <c r="C87" s="3">
        <f>IFERROR(INDEX('Usage Detail'!$C:$C,AGGREGATE(15,6,ROW('Usage Detail'!$A$5:$A$204)/(('Usage Detail'!$B$5:$B$204="Gift")),ROW(A80))),"")</f>
        <v/>
      </c>
      <c r="D87" s="3">
        <f>IFERROR(INDEX('Usage Detail'!$D:$D,AGGREGATE(15,6,ROW('Usage Detail'!$A$5:$A$204)/(('Usage Detail'!$B$5:$B$204="Gift")),ROW(A80))),"")</f>
        <v/>
      </c>
      <c r="E87" s="4">
        <f>IFERROR(INDEX('Usage Detail'!$E:$E,AGGREGATE(15,6,ROW('Usage Detail'!$A$5:$A$204)/(('Usage Detail'!$B$5:$B$204="Gift")),ROW(A80))),"")</f>
        <v/>
      </c>
      <c r="F87" s="4">
        <f>IFERROR(INDEX('Usage Detail'!$F:$F,AGGREGATE(15,6,ROW('Usage Detail'!$A$5:$A$204)/(('Usage Detail'!$B$5:$B$204="Gift")),ROW(A80))),"")</f>
        <v/>
      </c>
      <c r="G87" s="4">
        <f>IFERROR(INDEX('Usage Detail'!$G:$G,AGGREGATE(15,6,ROW('Usage Detail'!$A$5:$A$204)/(('Usage Detail'!$B$5:$B$204="Gift")),ROW(A80))),"")</f>
        <v/>
      </c>
      <c r="H87" s="4">
        <f>IFERROR(INDEX('Usage Detail'!$H:$H,AGGREGATE(15,6,ROW('Usage Detail'!$A$5:$A$204)/(('Usage Detail'!$B$5:$B$204="Gift")),ROW(A80))),"")</f>
        <v/>
      </c>
    </row>
    <row r="88">
      <c r="A88" s="3">
        <f>IFERROR(INDEX('Usage Detail'!$A:$A,AGGREGATE(15,6,ROW('Usage Detail'!$A$5:$A$204)/(('Usage Detail'!$B$5:$B$204="Gift")),ROW(A81))),"")</f>
        <v/>
      </c>
      <c r="B88" s="3">
        <f>IFERROR(INDEX('Usage Detail'!$B:$B,AGGREGATE(15,6,ROW('Usage Detail'!$A$5:$A$204)/(('Usage Detail'!$B$5:$B$204="Gift")),ROW(A81))),"")</f>
        <v/>
      </c>
      <c r="C88" s="3">
        <f>IFERROR(INDEX('Usage Detail'!$C:$C,AGGREGATE(15,6,ROW('Usage Detail'!$A$5:$A$204)/(('Usage Detail'!$B$5:$B$204="Gift")),ROW(A81))),"")</f>
        <v/>
      </c>
      <c r="D88" s="3">
        <f>IFERROR(INDEX('Usage Detail'!$D:$D,AGGREGATE(15,6,ROW('Usage Detail'!$A$5:$A$204)/(('Usage Detail'!$B$5:$B$204="Gift")),ROW(A81))),"")</f>
        <v/>
      </c>
      <c r="E88" s="4">
        <f>IFERROR(INDEX('Usage Detail'!$E:$E,AGGREGATE(15,6,ROW('Usage Detail'!$A$5:$A$204)/(('Usage Detail'!$B$5:$B$204="Gift")),ROW(A81))),"")</f>
        <v/>
      </c>
      <c r="F88" s="4">
        <f>IFERROR(INDEX('Usage Detail'!$F:$F,AGGREGATE(15,6,ROW('Usage Detail'!$A$5:$A$204)/(('Usage Detail'!$B$5:$B$204="Gift")),ROW(A81))),"")</f>
        <v/>
      </c>
      <c r="G88" s="4">
        <f>IFERROR(INDEX('Usage Detail'!$G:$G,AGGREGATE(15,6,ROW('Usage Detail'!$A$5:$A$204)/(('Usage Detail'!$B$5:$B$204="Gift")),ROW(A81))),"")</f>
        <v/>
      </c>
      <c r="H88" s="4">
        <f>IFERROR(INDEX('Usage Detail'!$H:$H,AGGREGATE(15,6,ROW('Usage Detail'!$A$5:$A$204)/(('Usage Detail'!$B$5:$B$204="Gift")),ROW(A81))),"")</f>
        <v/>
      </c>
    </row>
    <row r="89">
      <c r="A89" s="3">
        <f>IFERROR(INDEX('Usage Detail'!$A:$A,AGGREGATE(15,6,ROW('Usage Detail'!$A$5:$A$204)/(('Usage Detail'!$B$5:$B$204="Gift")),ROW(A82))),"")</f>
        <v/>
      </c>
      <c r="B89" s="3">
        <f>IFERROR(INDEX('Usage Detail'!$B:$B,AGGREGATE(15,6,ROW('Usage Detail'!$A$5:$A$204)/(('Usage Detail'!$B$5:$B$204="Gift")),ROW(A82))),"")</f>
        <v/>
      </c>
      <c r="C89" s="3">
        <f>IFERROR(INDEX('Usage Detail'!$C:$C,AGGREGATE(15,6,ROW('Usage Detail'!$A$5:$A$204)/(('Usage Detail'!$B$5:$B$204="Gift")),ROW(A82))),"")</f>
        <v/>
      </c>
      <c r="D89" s="3">
        <f>IFERROR(INDEX('Usage Detail'!$D:$D,AGGREGATE(15,6,ROW('Usage Detail'!$A$5:$A$204)/(('Usage Detail'!$B$5:$B$204="Gift")),ROW(A82))),"")</f>
        <v/>
      </c>
      <c r="E89" s="4">
        <f>IFERROR(INDEX('Usage Detail'!$E:$E,AGGREGATE(15,6,ROW('Usage Detail'!$A$5:$A$204)/(('Usage Detail'!$B$5:$B$204="Gift")),ROW(A82))),"")</f>
        <v/>
      </c>
      <c r="F89" s="4">
        <f>IFERROR(INDEX('Usage Detail'!$F:$F,AGGREGATE(15,6,ROW('Usage Detail'!$A$5:$A$204)/(('Usage Detail'!$B$5:$B$204="Gift")),ROW(A82))),"")</f>
        <v/>
      </c>
      <c r="G89" s="4">
        <f>IFERROR(INDEX('Usage Detail'!$G:$G,AGGREGATE(15,6,ROW('Usage Detail'!$A$5:$A$204)/(('Usage Detail'!$B$5:$B$204="Gift")),ROW(A82))),"")</f>
        <v/>
      </c>
      <c r="H89" s="4">
        <f>IFERROR(INDEX('Usage Detail'!$H:$H,AGGREGATE(15,6,ROW('Usage Detail'!$A$5:$A$204)/(('Usage Detail'!$B$5:$B$204="Gift")),ROW(A82))),"")</f>
        <v/>
      </c>
    </row>
    <row r="90">
      <c r="A90" s="3">
        <f>IFERROR(INDEX('Usage Detail'!$A:$A,AGGREGATE(15,6,ROW('Usage Detail'!$A$5:$A$204)/(('Usage Detail'!$B$5:$B$204="Gift")),ROW(A83))),"")</f>
        <v/>
      </c>
      <c r="B90" s="3">
        <f>IFERROR(INDEX('Usage Detail'!$B:$B,AGGREGATE(15,6,ROW('Usage Detail'!$A$5:$A$204)/(('Usage Detail'!$B$5:$B$204="Gift")),ROW(A83))),"")</f>
        <v/>
      </c>
      <c r="C90" s="3">
        <f>IFERROR(INDEX('Usage Detail'!$C:$C,AGGREGATE(15,6,ROW('Usage Detail'!$A$5:$A$204)/(('Usage Detail'!$B$5:$B$204="Gift")),ROW(A83))),"")</f>
        <v/>
      </c>
      <c r="D90" s="3">
        <f>IFERROR(INDEX('Usage Detail'!$D:$D,AGGREGATE(15,6,ROW('Usage Detail'!$A$5:$A$204)/(('Usage Detail'!$B$5:$B$204="Gift")),ROW(A83))),"")</f>
        <v/>
      </c>
      <c r="E90" s="4">
        <f>IFERROR(INDEX('Usage Detail'!$E:$E,AGGREGATE(15,6,ROW('Usage Detail'!$A$5:$A$204)/(('Usage Detail'!$B$5:$B$204="Gift")),ROW(A83))),"")</f>
        <v/>
      </c>
      <c r="F90" s="4">
        <f>IFERROR(INDEX('Usage Detail'!$F:$F,AGGREGATE(15,6,ROW('Usage Detail'!$A$5:$A$204)/(('Usage Detail'!$B$5:$B$204="Gift")),ROW(A83))),"")</f>
        <v/>
      </c>
      <c r="G90" s="4">
        <f>IFERROR(INDEX('Usage Detail'!$G:$G,AGGREGATE(15,6,ROW('Usage Detail'!$A$5:$A$204)/(('Usage Detail'!$B$5:$B$204="Gift")),ROW(A83))),"")</f>
        <v/>
      </c>
      <c r="H90" s="4">
        <f>IFERROR(INDEX('Usage Detail'!$H:$H,AGGREGATE(15,6,ROW('Usage Detail'!$A$5:$A$204)/(('Usage Detail'!$B$5:$B$204="Gift")),ROW(A83))),"")</f>
        <v/>
      </c>
    </row>
    <row r="91">
      <c r="A91" s="3">
        <f>IFERROR(INDEX('Usage Detail'!$A:$A,AGGREGATE(15,6,ROW('Usage Detail'!$A$5:$A$204)/(('Usage Detail'!$B$5:$B$204="Gift")),ROW(A84))),"")</f>
        <v/>
      </c>
      <c r="B91" s="3">
        <f>IFERROR(INDEX('Usage Detail'!$B:$B,AGGREGATE(15,6,ROW('Usage Detail'!$A$5:$A$204)/(('Usage Detail'!$B$5:$B$204="Gift")),ROW(A84))),"")</f>
        <v/>
      </c>
      <c r="C91" s="3">
        <f>IFERROR(INDEX('Usage Detail'!$C:$C,AGGREGATE(15,6,ROW('Usage Detail'!$A$5:$A$204)/(('Usage Detail'!$B$5:$B$204="Gift")),ROW(A84))),"")</f>
        <v/>
      </c>
      <c r="D91" s="3">
        <f>IFERROR(INDEX('Usage Detail'!$D:$D,AGGREGATE(15,6,ROW('Usage Detail'!$A$5:$A$204)/(('Usage Detail'!$B$5:$B$204="Gift")),ROW(A84))),"")</f>
        <v/>
      </c>
      <c r="E91" s="4">
        <f>IFERROR(INDEX('Usage Detail'!$E:$E,AGGREGATE(15,6,ROW('Usage Detail'!$A$5:$A$204)/(('Usage Detail'!$B$5:$B$204="Gift")),ROW(A84))),"")</f>
        <v/>
      </c>
      <c r="F91" s="4">
        <f>IFERROR(INDEX('Usage Detail'!$F:$F,AGGREGATE(15,6,ROW('Usage Detail'!$A$5:$A$204)/(('Usage Detail'!$B$5:$B$204="Gift")),ROW(A84))),"")</f>
        <v/>
      </c>
      <c r="G91" s="4">
        <f>IFERROR(INDEX('Usage Detail'!$G:$G,AGGREGATE(15,6,ROW('Usage Detail'!$A$5:$A$204)/(('Usage Detail'!$B$5:$B$204="Gift")),ROW(A84))),"")</f>
        <v/>
      </c>
      <c r="H91" s="4">
        <f>IFERROR(INDEX('Usage Detail'!$H:$H,AGGREGATE(15,6,ROW('Usage Detail'!$A$5:$A$204)/(('Usage Detail'!$B$5:$B$204="Gift")),ROW(A84))),"")</f>
        <v/>
      </c>
    </row>
    <row r="92">
      <c r="A92" s="3">
        <f>IFERROR(INDEX('Usage Detail'!$A:$A,AGGREGATE(15,6,ROW('Usage Detail'!$A$5:$A$204)/(('Usage Detail'!$B$5:$B$204="Gift")),ROW(A85))),"")</f>
        <v/>
      </c>
      <c r="B92" s="3">
        <f>IFERROR(INDEX('Usage Detail'!$B:$B,AGGREGATE(15,6,ROW('Usage Detail'!$A$5:$A$204)/(('Usage Detail'!$B$5:$B$204="Gift")),ROW(A85))),"")</f>
        <v/>
      </c>
      <c r="C92" s="3">
        <f>IFERROR(INDEX('Usage Detail'!$C:$C,AGGREGATE(15,6,ROW('Usage Detail'!$A$5:$A$204)/(('Usage Detail'!$B$5:$B$204="Gift")),ROW(A85))),"")</f>
        <v/>
      </c>
      <c r="D92" s="3">
        <f>IFERROR(INDEX('Usage Detail'!$D:$D,AGGREGATE(15,6,ROW('Usage Detail'!$A$5:$A$204)/(('Usage Detail'!$B$5:$B$204="Gift")),ROW(A85))),"")</f>
        <v/>
      </c>
      <c r="E92" s="4">
        <f>IFERROR(INDEX('Usage Detail'!$E:$E,AGGREGATE(15,6,ROW('Usage Detail'!$A$5:$A$204)/(('Usage Detail'!$B$5:$B$204="Gift")),ROW(A85))),"")</f>
        <v/>
      </c>
      <c r="F92" s="4">
        <f>IFERROR(INDEX('Usage Detail'!$F:$F,AGGREGATE(15,6,ROW('Usage Detail'!$A$5:$A$204)/(('Usage Detail'!$B$5:$B$204="Gift")),ROW(A85))),"")</f>
        <v/>
      </c>
      <c r="G92" s="4">
        <f>IFERROR(INDEX('Usage Detail'!$G:$G,AGGREGATE(15,6,ROW('Usage Detail'!$A$5:$A$204)/(('Usage Detail'!$B$5:$B$204="Gift")),ROW(A85))),"")</f>
        <v/>
      </c>
      <c r="H92" s="4">
        <f>IFERROR(INDEX('Usage Detail'!$H:$H,AGGREGATE(15,6,ROW('Usage Detail'!$A$5:$A$204)/(('Usage Detail'!$B$5:$B$204="Gift")),ROW(A85))),"")</f>
        <v/>
      </c>
    </row>
    <row r="93">
      <c r="A93" s="3">
        <f>IFERROR(INDEX('Usage Detail'!$A:$A,AGGREGATE(15,6,ROW('Usage Detail'!$A$5:$A$204)/(('Usage Detail'!$B$5:$B$204="Gift")),ROW(A86))),"")</f>
        <v/>
      </c>
      <c r="B93" s="3">
        <f>IFERROR(INDEX('Usage Detail'!$B:$B,AGGREGATE(15,6,ROW('Usage Detail'!$A$5:$A$204)/(('Usage Detail'!$B$5:$B$204="Gift")),ROW(A86))),"")</f>
        <v/>
      </c>
      <c r="C93" s="3">
        <f>IFERROR(INDEX('Usage Detail'!$C:$C,AGGREGATE(15,6,ROW('Usage Detail'!$A$5:$A$204)/(('Usage Detail'!$B$5:$B$204="Gift")),ROW(A86))),"")</f>
        <v/>
      </c>
      <c r="D93" s="3">
        <f>IFERROR(INDEX('Usage Detail'!$D:$D,AGGREGATE(15,6,ROW('Usage Detail'!$A$5:$A$204)/(('Usage Detail'!$B$5:$B$204="Gift")),ROW(A86))),"")</f>
        <v/>
      </c>
      <c r="E93" s="4">
        <f>IFERROR(INDEX('Usage Detail'!$E:$E,AGGREGATE(15,6,ROW('Usage Detail'!$A$5:$A$204)/(('Usage Detail'!$B$5:$B$204="Gift")),ROW(A86))),"")</f>
        <v/>
      </c>
      <c r="F93" s="4">
        <f>IFERROR(INDEX('Usage Detail'!$F:$F,AGGREGATE(15,6,ROW('Usage Detail'!$A$5:$A$204)/(('Usage Detail'!$B$5:$B$204="Gift")),ROW(A86))),"")</f>
        <v/>
      </c>
      <c r="G93" s="4">
        <f>IFERROR(INDEX('Usage Detail'!$G:$G,AGGREGATE(15,6,ROW('Usage Detail'!$A$5:$A$204)/(('Usage Detail'!$B$5:$B$204="Gift")),ROW(A86))),"")</f>
        <v/>
      </c>
      <c r="H93" s="4">
        <f>IFERROR(INDEX('Usage Detail'!$H:$H,AGGREGATE(15,6,ROW('Usage Detail'!$A$5:$A$204)/(('Usage Detail'!$B$5:$B$204="Gift")),ROW(A86))),"")</f>
        <v/>
      </c>
    </row>
    <row r="94">
      <c r="A94" s="3">
        <f>IFERROR(INDEX('Usage Detail'!$A:$A,AGGREGATE(15,6,ROW('Usage Detail'!$A$5:$A$204)/(('Usage Detail'!$B$5:$B$204="Gift")),ROW(A87))),"")</f>
        <v/>
      </c>
      <c r="B94" s="3">
        <f>IFERROR(INDEX('Usage Detail'!$B:$B,AGGREGATE(15,6,ROW('Usage Detail'!$A$5:$A$204)/(('Usage Detail'!$B$5:$B$204="Gift")),ROW(A87))),"")</f>
        <v/>
      </c>
      <c r="C94" s="3">
        <f>IFERROR(INDEX('Usage Detail'!$C:$C,AGGREGATE(15,6,ROW('Usage Detail'!$A$5:$A$204)/(('Usage Detail'!$B$5:$B$204="Gift")),ROW(A87))),"")</f>
        <v/>
      </c>
      <c r="D94" s="3">
        <f>IFERROR(INDEX('Usage Detail'!$D:$D,AGGREGATE(15,6,ROW('Usage Detail'!$A$5:$A$204)/(('Usage Detail'!$B$5:$B$204="Gift")),ROW(A87))),"")</f>
        <v/>
      </c>
      <c r="E94" s="4">
        <f>IFERROR(INDEX('Usage Detail'!$E:$E,AGGREGATE(15,6,ROW('Usage Detail'!$A$5:$A$204)/(('Usage Detail'!$B$5:$B$204="Gift")),ROW(A87))),"")</f>
        <v/>
      </c>
      <c r="F94" s="4">
        <f>IFERROR(INDEX('Usage Detail'!$F:$F,AGGREGATE(15,6,ROW('Usage Detail'!$A$5:$A$204)/(('Usage Detail'!$B$5:$B$204="Gift")),ROW(A87))),"")</f>
        <v/>
      </c>
      <c r="G94" s="4">
        <f>IFERROR(INDEX('Usage Detail'!$G:$G,AGGREGATE(15,6,ROW('Usage Detail'!$A$5:$A$204)/(('Usage Detail'!$B$5:$B$204="Gift")),ROW(A87))),"")</f>
        <v/>
      </c>
      <c r="H94" s="4">
        <f>IFERROR(INDEX('Usage Detail'!$H:$H,AGGREGATE(15,6,ROW('Usage Detail'!$A$5:$A$204)/(('Usage Detail'!$B$5:$B$204="Gift")),ROW(A87))),"")</f>
        <v/>
      </c>
    </row>
    <row r="95">
      <c r="A95" s="3">
        <f>IFERROR(INDEX('Usage Detail'!$A:$A,AGGREGATE(15,6,ROW('Usage Detail'!$A$5:$A$204)/(('Usage Detail'!$B$5:$B$204="Gift")),ROW(A88))),"")</f>
        <v/>
      </c>
      <c r="B95" s="3">
        <f>IFERROR(INDEX('Usage Detail'!$B:$B,AGGREGATE(15,6,ROW('Usage Detail'!$A$5:$A$204)/(('Usage Detail'!$B$5:$B$204="Gift")),ROW(A88))),"")</f>
        <v/>
      </c>
      <c r="C95" s="3">
        <f>IFERROR(INDEX('Usage Detail'!$C:$C,AGGREGATE(15,6,ROW('Usage Detail'!$A$5:$A$204)/(('Usage Detail'!$B$5:$B$204="Gift")),ROW(A88))),"")</f>
        <v/>
      </c>
      <c r="D95" s="3">
        <f>IFERROR(INDEX('Usage Detail'!$D:$D,AGGREGATE(15,6,ROW('Usage Detail'!$A$5:$A$204)/(('Usage Detail'!$B$5:$B$204="Gift")),ROW(A88))),"")</f>
        <v/>
      </c>
      <c r="E95" s="4">
        <f>IFERROR(INDEX('Usage Detail'!$E:$E,AGGREGATE(15,6,ROW('Usage Detail'!$A$5:$A$204)/(('Usage Detail'!$B$5:$B$204="Gift")),ROW(A88))),"")</f>
        <v/>
      </c>
      <c r="F95" s="4">
        <f>IFERROR(INDEX('Usage Detail'!$F:$F,AGGREGATE(15,6,ROW('Usage Detail'!$A$5:$A$204)/(('Usage Detail'!$B$5:$B$204="Gift")),ROW(A88))),"")</f>
        <v/>
      </c>
      <c r="G95" s="4">
        <f>IFERROR(INDEX('Usage Detail'!$G:$G,AGGREGATE(15,6,ROW('Usage Detail'!$A$5:$A$204)/(('Usage Detail'!$B$5:$B$204="Gift")),ROW(A88))),"")</f>
        <v/>
      </c>
      <c r="H95" s="4">
        <f>IFERROR(INDEX('Usage Detail'!$H:$H,AGGREGATE(15,6,ROW('Usage Detail'!$A$5:$A$204)/(('Usage Detail'!$B$5:$B$204="Gift")),ROW(A88))),"")</f>
        <v/>
      </c>
    </row>
    <row r="96">
      <c r="A96" s="3">
        <f>IFERROR(INDEX('Usage Detail'!$A:$A,AGGREGATE(15,6,ROW('Usage Detail'!$A$5:$A$204)/(('Usage Detail'!$B$5:$B$204="Gift")),ROW(A89))),"")</f>
        <v/>
      </c>
      <c r="B96" s="3">
        <f>IFERROR(INDEX('Usage Detail'!$B:$B,AGGREGATE(15,6,ROW('Usage Detail'!$A$5:$A$204)/(('Usage Detail'!$B$5:$B$204="Gift")),ROW(A89))),"")</f>
        <v/>
      </c>
      <c r="C96" s="3">
        <f>IFERROR(INDEX('Usage Detail'!$C:$C,AGGREGATE(15,6,ROW('Usage Detail'!$A$5:$A$204)/(('Usage Detail'!$B$5:$B$204="Gift")),ROW(A89))),"")</f>
        <v/>
      </c>
      <c r="D96" s="3">
        <f>IFERROR(INDEX('Usage Detail'!$D:$D,AGGREGATE(15,6,ROW('Usage Detail'!$A$5:$A$204)/(('Usage Detail'!$B$5:$B$204="Gift")),ROW(A89))),"")</f>
        <v/>
      </c>
      <c r="E96" s="4">
        <f>IFERROR(INDEX('Usage Detail'!$E:$E,AGGREGATE(15,6,ROW('Usage Detail'!$A$5:$A$204)/(('Usage Detail'!$B$5:$B$204="Gift")),ROW(A89))),"")</f>
        <v/>
      </c>
      <c r="F96" s="4">
        <f>IFERROR(INDEX('Usage Detail'!$F:$F,AGGREGATE(15,6,ROW('Usage Detail'!$A$5:$A$204)/(('Usage Detail'!$B$5:$B$204="Gift")),ROW(A89))),"")</f>
        <v/>
      </c>
      <c r="G96" s="4">
        <f>IFERROR(INDEX('Usage Detail'!$G:$G,AGGREGATE(15,6,ROW('Usage Detail'!$A$5:$A$204)/(('Usage Detail'!$B$5:$B$204="Gift")),ROW(A89))),"")</f>
        <v/>
      </c>
      <c r="H96" s="4">
        <f>IFERROR(INDEX('Usage Detail'!$H:$H,AGGREGATE(15,6,ROW('Usage Detail'!$A$5:$A$204)/(('Usage Detail'!$B$5:$B$204="Gift")),ROW(A89))),"")</f>
        <v/>
      </c>
    </row>
    <row r="97">
      <c r="A97" s="3">
        <f>IFERROR(INDEX('Usage Detail'!$A:$A,AGGREGATE(15,6,ROW('Usage Detail'!$A$5:$A$204)/(('Usage Detail'!$B$5:$B$204="Gift")),ROW(A90))),"")</f>
        <v/>
      </c>
      <c r="B97" s="3">
        <f>IFERROR(INDEX('Usage Detail'!$B:$B,AGGREGATE(15,6,ROW('Usage Detail'!$A$5:$A$204)/(('Usage Detail'!$B$5:$B$204="Gift")),ROW(A90))),"")</f>
        <v/>
      </c>
      <c r="C97" s="3">
        <f>IFERROR(INDEX('Usage Detail'!$C:$C,AGGREGATE(15,6,ROW('Usage Detail'!$A$5:$A$204)/(('Usage Detail'!$B$5:$B$204="Gift")),ROW(A90))),"")</f>
        <v/>
      </c>
      <c r="D97" s="3">
        <f>IFERROR(INDEX('Usage Detail'!$D:$D,AGGREGATE(15,6,ROW('Usage Detail'!$A$5:$A$204)/(('Usage Detail'!$B$5:$B$204="Gift")),ROW(A90))),"")</f>
        <v/>
      </c>
      <c r="E97" s="4">
        <f>IFERROR(INDEX('Usage Detail'!$E:$E,AGGREGATE(15,6,ROW('Usage Detail'!$A$5:$A$204)/(('Usage Detail'!$B$5:$B$204="Gift")),ROW(A90))),"")</f>
        <v/>
      </c>
      <c r="F97" s="4">
        <f>IFERROR(INDEX('Usage Detail'!$F:$F,AGGREGATE(15,6,ROW('Usage Detail'!$A$5:$A$204)/(('Usage Detail'!$B$5:$B$204="Gift")),ROW(A90))),"")</f>
        <v/>
      </c>
      <c r="G97" s="4">
        <f>IFERROR(INDEX('Usage Detail'!$G:$G,AGGREGATE(15,6,ROW('Usage Detail'!$A$5:$A$204)/(('Usage Detail'!$B$5:$B$204="Gift")),ROW(A90))),"")</f>
        <v/>
      </c>
      <c r="H97" s="4">
        <f>IFERROR(INDEX('Usage Detail'!$H:$H,AGGREGATE(15,6,ROW('Usage Detail'!$A$5:$A$204)/(('Usage Detail'!$B$5:$B$204="Gift")),ROW(A90))),"")</f>
        <v/>
      </c>
    </row>
    <row r="98">
      <c r="A98" s="3">
        <f>IFERROR(INDEX('Usage Detail'!$A:$A,AGGREGATE(15,6,ROW('Usage Detail'!$A$5:$A$204)/(('Usage Detail'!$B$5:$B$204="Gift")),ROW(A91))),"")</f>
        <v/>
      </c>
      <c r="B98" s="3">
        <f>IFERROR(INDEX('Usage Detail'!$B:$B,AGGREGATE(15,6,ROW('Usage Detail'!$A$5:$A$204)/(('Usage Detail'!$B$5:$B$204="Gift")),ROW(A91))),"")</f>
        <v/>
      </c>
      <c r="C98" s="3">
        <f>IFERROR(INDEX('Usage Detail'!$C:$C,AGGREGATE(15,6,ROW('Usage Detail'!$A$5:$A$204)/(('Usage Detail'!$B$5:$B$204="Gift")),ROW(A91))),"")</f>
        <v/>
      </c>
      <c r="D98" s="3">
        <f>IFERROR(INDEX('Usage Detail'!$D:$D,AGGREGATE(15,6,ROW('Usage Detail'!$A$5:$A$204)/(('Usage Detail'!$B$5:$B$204="Gift")),ROW(A91))),"")</f>
        <v/>
      </c>
      <c r="E98" s="4">
        <f>IFERROR(INDEX('Usage Detail'!$E:$E,AGGREGATE(15,6,ROW('Usage Detail'!$A$5:$A$204)/(('Usage Detail'!$B$5:$B$204="Gift")),ROW(A91))),"")</f>
        <v/>
      </c>
      <c r="F98" s="4">
        <f>IFERROR(INDEX('Usage Detail'!$F:$F,AGGREGATE(15,6,ROW('Usage Detail'!$A$5:$A$204)/(('Usage Detail'!$B$5:$B$204="Gift")),ROW(A91))),"")</f>
        <v/>
      </c>
      <c r="G98" s="4">
        <f>IFERROR(INDEX('Usage Detail'!$G:$G,AGGREGATE(15,6,ROW('Usage Detail'!$A$5:$A$204)/(('Usage Detail'!$B$5:$B$204="Gift")),ROW(A91))),"")</f>
        <v/>
      </c>
      <c r="H98" s="4">
        <f>IFERROR(INDEX('Usage Detail'!$H:$H,AGGREGATE(15,6,ROW('Usage Detail'!$A$5:$A$204)/(('Usage Detail'!$B$5:$B$204="Gift")),ROW(A91))),"")</f>
        <v/>
      </c>
    </row>
    <row r="99">
      <c r="A99" s="3">
        <f>IFERROR(INDEX('Usage Detail'!$A:$A,AGGREGATE(15,6,ROW('Usage Detail'!$A$5:$A$204)/(('Usage Detail'!$B$5:$B$204="Gift")),ROW(A92))),"")</f>
        <v/>
      </c>
      <c r="B99" s="3">
        <f>IFERROR(INDEX('Usage Detail'!$B:$B,AGGREGATE(15,6,ROW('Usage Detail'!$A$5:$A$204)/(('Usage Detail'!$B$5:$B$204="Gift")),ROW(A92))),"")</f>
        <v/>
      </c>
      <c r="C99" s="3">
        <f>IFERROR(INDEX('Usage Detail'!$C:$C,AGGREGATE(15,6,ROW('Usage Detail'!$A$5:$A$204)/(('Usage Detail'!$B$5:$B$204="Gift")),ROW(A92))),"")</f>
        <v/>
      </c>
      <c r="D99" s="3">
        <f>IFERROR(INDEX('Usage Detail'!$D:$D,AGGREGATE(15,6,ROW('Usage Detail'!$A$5:$A$204)/(('Usage Detail'!$B$5:$B$204="Gift")),ROW(A92))),"")</f>
        <v/>
      </c>
      <c r="E99" s="4">
        <f>IFERROR(INDEX('Usage Detail'!$E:$E,AGGREGATE(15,6,ROW('Usage Detail'!$A$5:$A$204)/(('Usage Detail'!$B$5:$B$204="Gift")),ROW(A92))),"")</f>
        <v/>
      </c>
      <c r="F99" s="4">
        <f>IFERROR(INDEX('Usage Detail'!$F:$F,AGGREGATE(15,6,ROW('Usage Detail'!$A$5:$A$204)/(('Usage Detail'!$B$5:$B$204="Gift")),ROW(A92))),"")</f>
        <v/>
      </c>
      <c r="G99" s="4">
        <f>IFERROR(INDEX('Usage Detail'!$G:$G,AGGREGATE(15,6,ROW('Usage Detail'!$A$5:$A$204)/(('Usage Detail'!$B$5:$B$204="Gift")),ROW(A92))),"")</f>
        <v/>
      </c>
      <c r="H99" s="4">
        <f>IFERROR(INDEX('Usage Detail'!$H:$H,AGGREGATE(15,6,ROW('Usage Detail'!$A$5:$A$204)/(('Usage Detail'!$B$5:$B$204="Gift")),ROW(A92))),"")</f>
        <v/>
      </c>
    </row>
    <row r="100">
      <c r="A100" s="3">
        <f>IFERROR(INDEX('Usage Detail'!$A:$A,AGGREGATE(15,6,ROW('Usage Detail'!$A$5:$A$204)/(('Usage Detail'!$B$5:$B$204="Gift")),ROW(A93))),"")</f>
        <v/>
      </c>
      <c r="B100" s="3">
        <f>IFERROR(INDEX('Usage Detail'!$B:$B,AGGREGATE(15,6,ROW('Usage Detail'!$A$5:$A$204)/(('Usage Detail'!$B$5:$B$204="Gift")),ROW(A93))),"")</f>
        <v/>
      </c>
      <c r="C100" s="3">
        <f>IFERROR(INDEX('Usage Detail'!$C:$C,AGGREGATE(15,6,ROW('Usage Detail'!$A$5:$A$204)/(('Usage Detail'!$B$5:$B$204="Gift")),ROW(A93))),"")</f>
        <v/>
      </c>
      <c r="D100" s="3">
        <f>IFERROR(INDEX('Usage Detail'!$D:$D,AGGREGATE(15,6,ROW('Usage Detail'!$A$5:$A$204)/(('Usage Detail'!$B$5:$B$204="Gift")),ROW(A93))),"")</f>
        <v/>
      </c>
      <c r="E100" s="4">
        <f>IFERROR(INDEX('Usage Detail'!$E:$E,AGGREGATE(15,6,ROW('Usage Detail'!$A$5:$A$204)/(('Usage Detail'!$B$5:$B$204="Gift")),ROW(A93))),"")</f>
        <v/>
      </c>
      <c r="F100" s="4">
        <f>IFERROR(INDEX('Usage Detail'!$F:$F,AGGREGATE(15,6,ROW('Usage Detail'!$A$5:$A$204)/(('Usage Detail'!$B$5:$B$204="Gift")),ROW(A93))),"")</f>
        <v/>
      </c>
      <c r="G100" s="4">
        <f>IFERROR(INDEX('Usage Detail'!$G:$G,AGGREGATE(15,6,ROW('Usage Detail'!$A$5:$A$204)/(('Usage Detail'!$B$5:$B$204="Gift")),ROW(A93))),"")</f>
        <v/>
      </c>
      <c r="H100" s="4">
        <f>IFERROR(INDEX('Usage Detail'!$H:$H,AGGREGATE(15,6,ROW('Usage Detail'!$A$5:$A$204)/(('Usage Detail'!$B$5:$B$204="Gift")),ROW(A93))),"")</f>
        <v/>
      </c>
    </row>
    <row r="101">
      <c r="A101" s="3">
        <f>IFERROR(INDEX('Usage Detail'!$A:$A,AGGREGATE(15,6,ROW('Usage Detail'!$A$5:$A$204)/(('Usage Detail'!$B$5:$B$204="Gift")),ROW(A94))),"")</f>
        <v/>
      </c>
      <c r="B101" s="3">
        <f>IFERROR(INDEX('Usage Detail'!$B:$B,AGGREGATE(15,6,ROW('Usage Detail'!$A$5:$A$204)/(('Usage Detail'!$B$5:$B$204="Gift")),ROW(A94))),"")</f>
        <v/>
      </c>
      <c r="C101" s="3">
        <f>IFERROR(INDEX('Usage Detail'!$C:$C,AGGREGATE(15,6,ROW('Usage Detail'!$A$5:$A$204)/(('Usage Detail'!$B$5:$B$204="Gift")),ROW(A94))),"")</f>
        <v/>
      </c>
      <c r="D101" s="3">
        <f>IFERROR(INDEX('Usage Detail'!$D:$D,AGGREGATE(15,6,ROW('Usage Detail'!$A$5:$A$204)/(('Usage Detail'!$B$5:$B$204="Gift")),ROW(A94))),"")</f>
        <v/>
      </c>
      <c r="E101" s="4">
        <f>IFERROR(INDEX('Usage Detail'!$E:$E,AGGREGATE(15,6,ROW('Usage Detail'!$A$5:$A$204)/(('Usage Detail'!$B$5:$B$204="Gift")),ROW(A94))),"")</f>
        <v/>
      </c>
      <c r="F101" s="4">
        <f>IFERROR(INDEX('Usage Detail'!$F:$F,AGGREGATE(15,6,ROW('Usage Detail'!$A$5:$A$204)/(('Usage Detail'!$B$5:$B$204="Gift")),ROW(A94))),"")</f>
        <v/>
      </c>
      <c r="G101" s="4">
        <f>IFERROR(INDEX('Usage Detail'!$G:$G,AGGREGATE(15,6,ROW('Usage Detail'!$A$5:$A$204)/(('Usage Detail'!$B$5:$B$204="Gift")),ROW(A94))),"")</f>
        <v/>
      </c>
      <c r="H101" s="4">
        <f>IFERROR(INDEX('Usage Detail'!$H:$H,AGGREGATE(15,6,ROW('Usage Detail'!$A$5:$A$204)/(('Usage Detail'!$B$5:$B$204="Gift")),ROW(A94))),"")</f>
        <v/>
      </c>
    </row>
    <row r="102">
      <c r="A102" s="3">
        <f>IFERROR(INDEX('Usage Detail'!$A:$A,AGGREGATE(15,6,ROW('Usage Detail'!$A$5:$A$204)/(('Usage Detail'!$B$5:$B$204="Gift")),ROW(A95))),"")</f>
        <v/>
      </c>
      <c r="B102" s="3">
        <f>IFERROR(INDEX('Usage Detail'!$B:$B,AGGREGATE(15,6,ROW('Usage Detail'!$A$5:$A$204)/(('Usage Detail'!$B$5:$B$204="Gift")),ROW(A95))),"")</f>
        <v/>
      </c>
      <c r="C102" s="3">
        <f>IFERROR(INDEX('Usage Detail'!$C:$C,AGGREGATE(15,6,ROW('Usage Detail'!$A$5:$A$204)/(('Usage Detail'!$B$5:$B$204="Gift")),ROW(A95))),"")</f>
        <v/>
      </c>
      <c r="D102" s="3">
        <f>IFERROR(INDEX('Usage Detail'!$D:$D,AGGREGATE(15,6,ROW('Usage Detail'!$A$5:$A$204)/(('Usage Detail'!$B$5:$B$204="Gift")),ROW(A95))),"")</f>
        <v/>
      </c>
      <c r="E102" s="4">
        <f>IFERROR(INDEX('Usage Detail'!$E:$E,AGGREGATE(15,6,ROW('Usage Detail'!$A$5:$A$204)/(('Usage Detail'!$B$5:$B$204="Gift")),ROW(A95))),"")</f>
        <v/>
      </c>
      <c r="F102" s="4">
        <f>IFERROR(INDEX('Usage Detail'!$F:$F,AGGREGATE(15,6,ROW('Usage Detail'!$A$5:$A$204)/(('Usage Detail'!$B$5:$B$204="Gift")),ROW(A95))),"")</f>
        <v/>
      </c>
      <c r="G102" s="4">
        <f>IFERROR(INDEX('Usage Detail'!$G:$G,AGGREGATE(15,6,ROW('Usage Detail'!$A$5:$A$204)/(('Usage Detail'!$B$5:$B$204="Gift")),ROW(A95))),"")</f>
        <v/>
      </c>
      <c r="H102" s="4">
        <f>IFERROR(INDEX('Usage Detail'!$H:$H,AGGREGATE(15,6,ROW('Usage Detail'!$A$5:$A$204)/(('Usage Detail'!$B$5:$B$204="Gift")),ROW(A95))),"")</f>
        <v/>
      </c>
    </row>
    <row r="103">
      <c r="A103" s="3">
        <f>IFERROR(INDEX('Usage Detail'!$A:$A,AGGREGATE(15,6,ROW('Usage Detail'!$A$5:$A$204)/(('Usage Detail'!$B$5:$B$204="Gift")),ROW(A96))),"")</f>
        <v/>
      </c>
      <c r="B103" s="3">
        <f>IFERROR(INDEX('Usage Detail'!$B:$B,AGGREGATE(15,6,ROW('Usage Detail'!$A$5:$A$204)/(('Usage Detail'!$B$5:$B$204="Gift")),ROW(A96))),"")</f>
        <v/>
      </c>
      <c r="C103" s="3">
        <f>IFERROR(INDEX('Usage Detail'!$C:$C,AGGREGATE(15,6,ROW('Usage Detail'!$A$5:$A$204)/(('Usage Detail'!$B$5:$B$204="Gift")),ROW(A96))),"")</f>
        <v/>
      </c>
      <c r="D103" s="3">
        <f>IFERROR(INDEX('Usage Detail'!$D:$D,AGGREGATE(15,6,ROW('Usage Detail'!$A$5:$A$204)/(('Usage Detail'!$B$5:$B$204="Gift")),ROW(A96))),"")</f>
        <v/>
      </c>
      <c r="E103" s="4">
        <f>IFERROR(INDEX('Usage Detail'!$E:$E,AGGREGATE(15,6,ROW('Usage Detail'!$A$5:$A$204)/(('Usage Detail'!$B$5:$B$204="Gift")),ROW(A96))),"")</f>
        <v/>
      </c>
      <c r="F103" s="4">
        <f>IFERROR(INDEX('Usage Detail'!$F:$F,AGGREGATE(15,6,ROW('Usage Detail'!$A$5:$A$204)/(('Usage Detail'!$B$5:$B$204="Gift")),ROW(A96))),"")</f>
        <v/>
      </c>
      <c r="G103" s="4">
        <f>IFERROR(INDEX('Usage Detail'!$G:$G,AGGREGATE(15,6,ROW('Usage Detail'!$A$5:$A$204)/(('Usage Detail'!$B$5:$B$204="Gift")),ROW(A96))),"")</f>
        <v/>
      </c>
      <c r="H103" s="4">
        <f>IFERROR(INDEX('Usage Detail'!$H:$H,AGGREGATE(15,6,ROW('Usage Detail'!$A$5:$A$204)/(('Usage Detail'!$B$5:$B$204="Gift")),ROW(A96))),"")</f>
        <v/>
      </c>
    </row>
    <row r="104">
      <c r="A104" s="3">
        <f>IFERROR(INDEX('Usage Detail'!$A:$A,AGGREGATE(15,6,ROW('Usage Detail'!$A$5:$A$204)/(('Usage Detail'!$B$5:$B$204="Gift")),ROW(A97))),"")</f>
        <v/>
      </c>
      <c r="B104" s="3">
        <f>IFERROR(INDEX('Usage Detail'!$B:$B,AGGREGATE(15,6,ROW('Usage Detail'!$A$5:$A$204)/(('Usage Detail'!$B$5:$B$204="Gift")),ROW(A97))),"")</f>
        <v/>
      </c>
      <c r="C104" s="3">
        <f>IFERROR(INDEX('Usage Detail'!$C:$C,AGGREGATE(15,6,ROW('Usage Detail'!$A$5:$A$204)/(('Usage Detail'!$B$5:$B$204="Gift")),ROW(A97))),"")</f>
        <v/>
      </c>
      <c r="D104" s="3">
        <f>IFERROR(INDEX('Usage Detail'!$D:$D,AGGREGATE(15,6,ROW('Usage Detail'!$A$5:$A$204)/(('Usage Detail'!$B$5:$B$204="Gift")),ROW(A97))),"")</f>
        <v/>
      </c>
      <c r="E104" s="4">
        <f>IFERROR(INDEX('Usage Detail'!$E:$E,AGGREGATE(15,6,ROW('Usage Detail'!$A$5:$A$204)/(('Usage Detail'!$B$5:$B$204="Gift")),ROW(A97))),"")</f>
        <v/>
      </c>
      <c r="F104" s="4">
        <f>IFERROR(INDEX('Usage Detail'!$F:$F,AGGREGATE(15,6,ROW('Usage Detail'!$A$5:$A$204)/(('Usage Detail'!$B$5:$B$204="Gift")),ROW(A97))),"")</f>
        <v/>
      </c>
      <c r="G104" s="4">
        <f>IFERROR(INDEX('Usage Detail'!$G:$G,AGGREGATE(15,6,ROW('Usage Detail'!$A$5:$A$204)/(('Usage Detail'!$B$5:$B$204="Gift")),ROW(A97))),"")</f>
        <v/>
      </c>
      <c r="H104" s="4">
        <f>IFERROR(INDEX('Usage Detail'!$H:$H,AGGREGATE(15,6,ROW('Usage Detail'!$A$5:$A$204)/(('Usage Detail'!$B$5:$B$204="Gift")),ROW(A97))),"")</f>
        <v/>
      </c>
    </row>
    <row r="105">
      <c r="A105" s="3">
        <f>IFERROR(INDEX('Usage Detail'!$A:$A,AGGREGATE(15,6,ROW('Usage Detail'!$A$5:$A$204)/(('Usage Detail'!$B$5:$B$204="Gift")),ROW(A98))),"")</f>
        <v/>
      </c>
      <c r="B105" s="3">
        <f>IFERROR(INDEX('Usage Detail'!$B:$B,AGGREGATE(15,6,ROW('Usage Detail'!$A$5:$A$204)/(('Usage Detail'!$B$5:$B$204="Gift")),ROW(A98))),"")</f>
        <v/>
      </c>
      <c r="C105" s="3">
        <f>IFERROR(INDEX('Usage Detail'!$C:$C,AGGREGATE(15,6,ROW('Usage Detail'!$A$5:$A$204)/(('Usage Detail'!$B$5:$B$204="Gift")),ROW(A98))),"")</f>
        <v/>
      </c>
      <c r="D105" s="3">
        <f>IFERROR(INDEX('Usage Detail'!$D:$D,AGGREGATE(15,6,ROW('Usage Detail'!$A$5:$A$204)/(('Usage Detail'!$B$5:$B$204="Gift")),ROW(A98))),"")</f>
        <v/>
      </c>
      <c r="E105" s="4">
        <f>IFERROR(INDEX('Usage Detail'!$E:$E,AGGREGATE(15,6,ROW('Usage Detail'!$A$5:$A$204)/(('Usage Detail'!$B$5:$B$204="Gift")),ROW(A98))),"")</f>
        <v/>
      </c>
      <c r="F105" s="4">
        <f>IFERROR(INDEX('Usage Detail'!$F:$F,AGGREGATE(15,6,ROW('Usage Detail'!$A$5:$A$204)/(('Usage Detail'!$B$5:$B$204="Gift")),ROW(A98))),"")</f>
        <v/>
      </c>
      <c r="G105" s="4">
        <f>IFERROR(INDEX('Usage Detail'!$G:$G,AGGREGATE(15,6,ROW('Usage Detail'!$A$5:$A$204)/(('Usage Detail'!$B$5:$B$204="Gift")),ROW(A98))),"")</f>
        <v/>
      </c>
      <c r="H105" s="4">
        <f>IFERROR(INDEX('Usage Detail'!$H:$H,AGGREGATE(15,6,ROW('Usage Detail'!$A$5:$A$204)/(('Usage Detail'!$B$5:$B$204="Gift")),ROW(A98))),"")</f>
        <v/>
      </c>
    </row>
    <row r="106">
      <c r="A106" s="3">
        <f>IFERROR(INDEX('Usage Detail'!$A:$A,AGGREGATE(15,6,ROW('Usage Detail'!$A$5:$A$204)/(('Usage Detail'!$B$5:$B$204="Gift")),ROW(A99))),"")</f>
        <v/>
      </c>
      <c r="B106" s="3">
        <f>IFERROR(INDEX('Usage Detail'!$B:$B,AGGREGATE(15,6,ROW('Usage Detail'!$A$5:$A$204)/(('Usage Detail'!$B$5:$B$204="Gift")),ROW(A99))),"")</f>
        <v/>
      </c>
      <c r="C106" s="3">
        <f>IFERROR(INDEX('Usage Detail'!$C:$C,AGGREGATE(15,6,ROW('Usage Detail'!$A$5:$A$204)/(('Usage Detail'!$B$5:$B$204="Gift")),ROW(A99))),"")</f>
        <v/>
      </c>
      <c r="D106" s="3">
        <f>IFERROR(INDEX('Usage Detail'!$D:$D,AGGREGATE(15,6,ROW('Usage Detail'!$A$5:$A$204)/(('Usage Detail'!$B$5:$B$204="Gift")),ROW(A99))),"")</f>
        <v/>
      </c>
      <c r="E106" s="4">
        <f>IFERROR(INDEX('Usage Detail'!$E:$E,AGGREGATE(15,6,ROW('Usage Detail'!$A$5:$A$204)/(('Usage Detail'!$B$5:$B$204="Gift")),ROW(A99))),"")</f>
        <v/>
      </c>
      <c r="F106" s="4">
        <f>IFERROR(INDEX('Usage Detail'!$F:$F,AGGREGATE(15,6,ROW('Usage Detail'!$A$5:$A$204)/(('Usage Detail'!$B$5:$B$204="Gift")),ROW(A99))),"")</f>
        <v/>
      </c>
      <c r="G106" s="4">
        <f>IFERROR(INDEX('Usage Detail'!$G:$G,AGGREGATE(15,6,ROW('Usage Detail'!$A$5:$A$204)/(('Usage Detail'!$B$5:$B$204="Gift")),ROW(A99))),"")</f>
        <v/>
      </c>
      <c r="H106" s="4">
        <f>IFERROR(INDEX('Usage Detail'!$H:$H,AGGREGATE(15,6,ROW('Usage Detail'!$A$5:$A$204)/(('Usage Detail'!$B$5:$B$204="Gift")),ROW(A99))),"")</f>
        <v/>
      </c>
    </row>
    <row r="107">
      <c r="A107" s="3">
        <f>IFERROR(INDEX('Usage Detail'!$A:$A,AGGREGATE(15,6,ROW('Usage Detail'!$A$5:$A$204)/(('Usage Detail'!$B$5:$B$204="Gift")),ROW(A100))),"")</f>
        <v/>
      </c>
      <c r="B107" s="3">
        <f>IFERROR(INDEX('Usage Detail'!$B:$B,AGGREGATE(15,6,ROW('Usage Detail'!$A$5:$A$204)/(('Usage Detail'!$B$5:$B$204="Gift")),ROW(A100))),"")</f>
        <v/>
      </c>
      <c r="C107" s="3">
        <f>IFERROR(INDEX('Usage Detail'!$C:$C,AGGREGATE(15,6,ROW('Usage Detail'!$A$5:$A$204)/(('Usage Detail'!$B$5:$B$204="Gift")),ROW(A100))),"")</f>
        <v/>
      </c>
      <c r="D107" s="3">
        <f>IFERROR(INDEX('Usage Detail'!$D:$D,AGGREGATE(15,6,ROW('Usage Detail'!$A$5:$A$204)/(('Usage Detail'!$B$5:$B$204="Gift")),ROW(A100))),"")</f>
        <v/>
      </c>
      <c r="E107" s="4">
        <f>IFERROR(INDEX('Usage Detail'!$E:$E,AGGREGATE(15,6,ROW('Usage Detail'!$A$5:$A$204)/(('Usage Detail'!$B$5:$B$204="Gift")),ROW(A100))),"")</f>
        <v/>
      </c>
      <c r="F107" s="4">
        <f>IFERROR(INDEX('Usage Detail'!$F:$F,AGGREGATE(15,6,ROW('Usage Detail'!$A$5:$A$204)/(('Usage Detail'!$B$5:$B$204="Gift")),ROW(A100))),"")</f>
        <v/>
      </c>
      <c r="G107" s="4">
        <f>IFERROR(INDEX('Usage Detail'!$G:$G,AGGREGATE(15,6,ROW('Usage Detail'!$A$5:$A$204)/(('Usage Detail'!$B$5:$B$204="Gift")),ROW(A100))),"")</f>
        <v/>
      </c>
      <c r="H107" s="4">
        <f>IFERROR(INDEX('Usage Detail'!$H:$H,AGGREGATE(15,6,ROW('Usage Detail'!$A$5:$A$204)/(('Usage Detail'!$B$5:$B$204="Gift")),ROW(A100))),"")</f>
        <v/>
      </c>
    </row>
    <row r="108">
      <c r="A108" s="3">
        <f>IFERROR(INDEX('Usage Detail'!$A:$A,AGGREGATE(15,6,ROW('Usage Detail'!$A$5:$A$204)/(('Usage Detail'!$B$5:$B$204="Gift")),ROW(A101))),"")</f>
        <v/>
      </c>
      <c r="B108" s="3">
        <f>IFERROR(INDEX('Usage Detail'!$B:$B,AGGREGATE(15,6,ROW('Usage Detail'!$A$5:$A$204)/(('Usage Detail'!$B$5:$B$204="Gift")),ROW(A101))),"")</f>
        <v/>
      </c>
      <c r="C108" s="3">
        <f>IFERROR(INDEX('Usage Detail'!$C:$C,AGGREGATE(15,6,ROW('Usage Detail'!$A$5:$A$204)/(('Usage Detail'!$B$5:$B$204="Gift")),ROW(A101))),"")</f>
        <v/>
      </c>
      <c r="D108" s="3">
        <f>IFERROR(INDEX('Usage Detail'!$D:$D,AGGREGATE(15,6,ROW('Usage Detail'!$A$5:$A$204)/(('Usage Detail'!$B$5:$B$204="Gift")),ROW(A101))),"")</f>
        <v/>
      </c>
      <c r="E108" s="4">
        <f>IFERROR(INDEX('Usage Detail'!$E:$E,AGGREGATE(15,6,ROW('Usage Detail'!$A$5:$A$204)/(('Usage Detail'!$B$5:$B$204="Gift")),ROW(A101))),"")</f>
        <v/>
      </c>
      <c r="F108" s="4">
        <f>IFERROR(INDEX('Usage Detail'!$F:$F,AGGREGATE(15,6,ROW('Usage Detail'!$A$5:$A$204)/(('Usage Detail'!$B$5:$B$204="Gift")),ROW(A101))),"")</f>
        <v/>
      </c>
      <c r="G108" s="4">
        <f>IFERROR(INDEX('Usage Detail'!$G:$G,AGGREGATE(15,6,ROW('Usage Detail'!$A$5:$A$204)/(('Usage Detail'!$B$5:$B$204="Gift")),ROW(A101))),"")</f>
        <v/>
      </c>
      <c r="H108" s="4">
        <f>IFERROR(INDEX('Usage Detail'!$H:$H,AGGREGATE(15,6,ROW('Usage Detail'!$A$5:$A$204)/(('Usage Detail'!$B$5:$B$204="Gift")),ROW(A101))),"")</f>
        <v/>
      </c>
    </row>
    <row r="109">
      <c r="A109" s="3">
        <f>IFERROR(INDEX('Usage Detail'!$A:$A,AGGREGATE(15,6,ROW('Usage Detail'!$A$5:$A$204)/(('Usage Detail'!$B$5:$B$204="Gift")),ROW(A102))),"")</f>
        <v/>
      </c>
      <c r="B109" s="3">
        <f>IFERROR(INDEX('Usage Detail'!$B:$B,AGGREGATE(15,6,ROW('Usage Detail'!$A$5:$A$204)/(('Usage Detail'!$B$5:$B$204="Gift")),ROW(A102))),"")</f>
        <v/>
      </c>
      <c r="C109" s="3">
        <f>IFERROR(INDEX('Usage Detail'!$C:$C,AGGREGATE(15,6,ROW('Usage Detail'!$A$5:$A$204)/(('Usage Detail'!$B$5:$B$204="Gift")),ROW(A102))),"")</f>
        <v/>
      </c>
      <c r="D109" s="3">
        <f>IFERROR(INDEX('Usage Detail'!$D:$D,AGGREGATE(15,6,ROW('Usage Detail'!$A$5:$A$204)/(('Usage Detail'!$B$5:$B$204="Gift")),ROW(A102))),"")</f>
        <v/>
      </c>
      <c r="E109" s="4">
        <f>IFERROR(INDEX('Usage Detail'!$E:$E,AGGREGATE(15,6,ROW('Usage Detail'!$A$5:$A$204)/(('Usage Detail'!$B$5:$B$204="Gift")),ROW(A102))),"")</f>
        <v/>
      </c>
      <c r="F109" s="4">
        <f>IFERROR(INDEX('Usage Detail'!$F:$F,AGGREGATE(15,6,ROW('Usage Detail'!$A$5:$A$204)/(('Usage Detail'!$B$5:$B$204="Gift")),ROW(A102))),"")</f>
        <v/>
      </c>
      <c r="G109" s="4">
        <f>IFERROR(INDEX('Usage Detail'!$G:$G,AGGREGATE(15,6,ROW('Usage Detail'!$A$5:$A$204)/(('Usage Detail'!$B$5:$B$204="Gift")),ROW(A102))),"")</f>
        <v/>
      </c>
      <c r="H109" s="4">
        <f>IFERROR(INDEX('Usage Detail'!$H:$H,AGGREGATE(15,6,ROW('Usage Detail'!$A$5:$A$204)/(('Usage Detail'!$B$5:$B$204="Gift")),ROW(A102))),"")</f>
        <v/>
      </c>
    </row>
    <row r="110">
      <c r="A110" s="3">
        <f>IFERROR(INDEX('Usage Detail'!$A:$A,AGGREGATE(15,6,ROW('Usage Detail'!$A$5:$A$204)/(('Usage Detail'!$B$5:$B$204="Gift")),ROW(A103))),"")</f>
        <v/>
      </c>
      <c r="B110" s="3">
        <f>IFERROR(INDEX('Usage Detail'!$B:$B,AGGREGATE(15,6,ROW('Usage Detail'!$A$5:$A$204)/(('Usage Detail'!$B$5:$B$204="Gift")),ROW(A103))),"")</f>
        <v/>
      </c>
      <c r="C110" s="3">
        <f>IFERROR(INDEX('Usage Detail'!$C:$C,AGGREGATE(15,6,ROW('Usage Detail'!$A$5:$A$204)/(('Usage Detail'!$B$5:$B$204="Gift")),ROW(A103))),"")</f>
        <v/>
      </c>
      <c r="D110" s="3">
        <f>IFERROR(INDEX('Usage Detail'!$D:$D,AGGREGATE(15,6,ROW('Usage Detail'!$A$5:$A$204)/(('Usage Detail'!$B$5:$B$204="Gift")),ROW(A103))),"")</f>
        <v/>
      </c>
      <c r="E110" s="4">
        <f>IFERROR(INDEX('Usage Detail'!$E:$E,AGGREGATE(15,6,ROW('Usage Detail'!$A$5:$A$204)/(('Usage Detail'!$B$5:$B$204="Gift")),ROW(A103))),"")</f>
        <v/>
      </c>
      <c r="F110" s="4">
        <f>IFERROR(INDEX('Usage Detail'!$F:$F,AGGREGATE(15,6,ROW('Usage Detail'!$A$5:$A$204)/(('Usage Detail'!$B$5:$B$204="Gift")),ROW(A103))),"")</f>
        <v/>
      </c>
      <c r="G110" s="4">
        <f>IFERROR(INDEX('Usage Detail'!$G:$G,AGGREGATE(15,6,ROW('Usage Detail'!$A$5:$A$204)/(('Usage Detail'!$B$5:$B$204="Gift")),ROW(A103))),"")</f>
        <v/>
      </c>
      <c r="H110" s="4">
        <f>IFERROR(INDEX('Usage Detail'!$H:$H,AGGREGATE(15,6,ROW('Usage Detail'!$A$5:$A$204)/(('Usage Detail'!$B$5:$B$204="Gift")),ROW(A103))),"")</f>
        <v/>
      </c>
    </row>
    <row r="111">
      <c r="A111" s="3">
        <f>IFERROR(INDEX('Usage Detail'!$A:$A,AGGREGATE(15,6,ROW('Usage Detail'!$A$5:$A$204)/(('Usage Detail'!$B$5:$B$204="Gift")),ROW(A104))),"")</f>
        <v/>
      </c>
      <c r="B111" s="3">
        <f>IFERROR(INDEX('Usage Detail'!$B:$B,AGGREGATE(15,6,ROW('Usage Detail'!$A$5:$A$204)/(('Usage Detail'!$B$5:$B$204="Gift")),ROW(A104))),"")</f>
        <v/>
      </c>
      <c r="C111" s="3">
        <f>IFERROR(INDEX('Usage Detail'!$C:$C,AGGREGATE(15,6,ROW('Usage Detail'!$A$5:$A$204)/(('Usage Detail'!$B$5:$B$204="Gift")),ROW(A104))),"")</f>
        <v/>
      </c>
      <c r="D111" s="3">
        <f>IFERROR(INDEX('Usage Detail'!$D:$D,AGGREGATE(15,6,ROW('Usage Detail'!$A$5:$A$204)/(('Usage Detail'!$B$5:$B$204="Gift")),ROW(A104))),"")</f>
        <v/>
      </c>
      <c r="E111" s="4">
        <f>IFERROR(INDEX('Usage Detail'!$E:$E,AGGREGATE(15,6,ROW('Usage Detail'!$A$5:$A$204)/(('Usage Detail'!$B$5:$B$204="Gift")),ROW(A104))),"")</f>
        <v/>
      </c>
      <c r="F111" s="4">
        <f>IFERROR(INDEX('Usage Detail'!$F:$F,AGGREGATE(15,6,ROW('Usage Detail'!$A$5:$A$204)/(('Usage Detail'!$B$5:$B$204="Gift")),ROW(A104))),"")</f>
        <v/>
      </c>
      <c r="G111" s="4">
        <f>IFERROR(INDEX('Usage Detail'!$G:$G,AGGREGATE(15,6,ROW('Usage Detail'!$A$5:$A$204)/(('Usage Detail'!$B$5:$B$204="Gift")),ROW(A104))),"")</f>
        <v/>
      </c>
      <c r="H111" s="4">
        <f>IFERROR(INDEX('Usage Detail'!$H:$H,AGGREGATE(15,6,ROW('Usage Detail'!$A$5:$A$204)/(('Usage Detail'!$B$5:$B$204="Gift")),ROW(A104))),"")</f>
        <v/>
      </c>
    </row>
    <row r="112">
      <c r="A112" s="3">
        <f>IFERROR(INDEX('Usage Detail'!$A:$A,AGGREGATE(15,6,ROW('Usage Detail'!$A$5:$A$204)/(('Usage Detail'!$B$5:$B$204="Gift")),ROW(A105))),"")</f>
        <v/>
      </c>
      <c r="B112" s="3">
        <f>IFERROR(INDEX('Usage Detail'!$B:$B,AGGREGATE(15,6,ROW('Usage Detail'!$A$5:$A$204)/(('Usage Detail'!$B$5:$B$204="Gift")),ROW(A105))),"")</f>
        <v/>
      </c>
      <c r="C112" s="3">
        <f>IFERROR(INDEX('Usage Detail'!$C:$C,AGGREGATE(15,6,ROW('Usage Detail'!$A$5:$A$204)/(('Usage Detail'!$B$5:$B$204="Gift")),ROW(A105))),"")</f>
        <v/>
      </c>
      <c r="D112" s="3">
        <f>IFERROR(INDEX('Usage Detail'!$D:$D,AGGREGATE(15,6,ROW('Usage Detail'!$A$5:$A$204)/(('Usage Detail'!$B$5:$B$204="Gift")),ROW(A105))),"")</f>
        <v/>
      </c>
      <c r="E112" s="4">
        <f>IFERROR(INDEX('Usage Detail'!$E:$E,AGGREGATE(15,6,ROW('Usage Detail'!$A$5:$A$204)/(('Usage Detail'!$B$5:$B$204="Gift")),ROW(A105))),"")</f>
        <v/>
      </c>
      <c r="F112" s="4">
        <f>IFERROR(INDEX('Usage Detail'!$F:$F,AGGREGATE(15,6,ROW('Usage Detail'!$A$5:$A$204)/(('Usage Detail'!$B$5:$B$204="Gift")),ROW(A105))),"")</f>
        <v/>
      </c>
      <c r="G112" s="4">
        <f>IFERROR(INDEX('Usage Detail'!$G:$G,AGGREGATE(15,6,ROW('Usage Detail'!$A$5:$A$204)/(('Usage Detail'!$B$5:$B$204="Gift")),ROW(A105))),"")</f>
        <v/>
      </c>
      <c r="H112" s="4">
        <f>IFERROR(INDEX('Usage Detail'!$H:$H,AGGREGATE(15,6,ROW('Usage Detail'!$A$5:$A$204)/(('Usage Detail'!$B$5:$B$204="Gift")),ROW(A105))),"")</f>
        <v/>
      </c>
    </row>
    <row r="113">
      <c r="A113" s="3">
        <f>IFERROR(INDEX('Usage Detail'!$A:$A,AGGREGATE(15,6,ROW('Usage Detail'!$A$5:$A$204)/(('Usage Detail'!$B$5:$B$204="Gift")),ROW(A106))),"")</f>
        <v/>
      </c>
      <c r="B113" s="3">
        <f>IFERROR(INDEX('Usage Detail'!$B:$B,AGGREGATE(15,6,ROW('Usage Detail'!$A$5:$A$204)/(('Usage Detail'!$B$5:$B$204="Gift")),ROW(A106))),"")</f>
        <v/>
      </c>
      <c r="C113" s="3">
        <f>IFERROR(INDEX('Usage Detail'!$C:$C,AGGREGATE(15,6,ROW('Usage Detail'!$A$5:$A$204)/(('Usage Detail'!$B$5:$B$204="Gift")),ROW(A106))),"")</f>
        <v/>
      </c>
      <c r="D113" s="3">
        <f>IFERROR(INDEX('Usage Detail'!$D:$D,AGGREGATE(15,6,ROW('Usage Detail'!$A$5:$A$204)/(('Usage Detail'!$B$5:$B$204="Gift")),ROW(A106))),"")</f>
        <v/>
      </c>
      <c r="E113" s="4">
        <f>IFERROR(INDEX('Usage Detail'!$E:$E,AGGREGATE(15,6,ROW('Usage Detail'!$A$5:$A$204)/(('Usage Detail'!$B$5:$B$204="Gift")),ROW(A106))),"")</f>
        <v/>
      </c>
      <c r="F113" s="4">
        <f>IFERROR(INDEX('Usage Detail'!$F:$F,AGGREGATE(15,6,ROW('Usage Detail'!$A$5:$A$204)/(('Usage Detail'!$B$5:$B$204="Gift")),ROW(A106))),"")</f>
        <v/>
      </c>
      <c r="G113" s="4">
        <f>IFERROR(INDEX('Usage Detail'!$G:$G,AGGREGATE(15,6,ROW('Usage Detail'!$A$5:$A$204)/(('Usage Detail'!$B$5:$B$204="Gift")),ROW(A106))),"")</f>
        <v/>
      </c>
      <c r="H113" s="4">
        <f>IFERROR(INDEX('Usage Detail'!$H:$H,AGGREGATE(15,6,ROW('Usage Detail'!$A$5:$A$204)/(('Usage Detail'!$B$5:$B$204="Gift")),ROW(A106))),"")</f>
        <v/>
      </c>
    </row>
    <row r="114">
      <c r="A114" s="3">
        <f>IFERROR(INDEX('Usage Detail'!$A:$A,AGGREGATE(15,6,ROW('Usage Detail'!$A$5:$A$204)/(('Usage Detail'!$B$5:$B$204="Gift")),ROW(A107))),"")</f>
        <v/>
      </c>
      <c r="B114" s="3">
        <f>IFERROR(INDEX('Usage Detail'!$B:$B,AGGREGATE(15,6,ROW('Usage Detail'!$A$5:$A$204)/(('Usage Detail'!$B$5:$B$204="Gift")),ROW(A107))),"")</f>
        <v/>
      </c>
      <c r="C114" s="3">
        <f>IFERROR(INDEX('Usage Detail'!$C:$C,AGGREGATE(15,6,ROW('Usage Detail'!$A$5:$A$204)/(('Usage Detail'!$B$5:$B$204="Gift")),ROW(A107))),"")</f>
        <v/>
      </c>
      <c r="D114" s="3">
        <f>IFERROR(INDEX('Usage Detail'!$D:$D,AGGREGATE(15,6,ROW('Usage Detail'!$A$5:$A$204)/(('Usage Detail'!$B$5:$B$204="Gift")),ROW(A107))),"")</f>
        <v/>
      </c>
      <c r="E114" s="4">
        <f>IFERROR(INDEX('Usage Detail'!$E:$E,AGGREGATE(15,6,ROW('Usage Detail'!$A$5:$A$204)/(('Usage Detail'!$B$5:$B$204="Gift")),ROW(A107))),"")</f>
        <v/>
      </c>
      <c r="F114" s="4">
        <f>IFERROR(INDEX('Usage Detail'!$F:$F,AGGREGATE(15,6,ROW('Usage Detail'!$A$5:$A$204)/(('Usage Detail'!$B$5:$B$204="Gift")),ROW(A107))),"")</f>
        <v/>
      </c>
      <c r="G114" s="4">
        <f>IFERROR(INDEX('Usage Detail'!$G:$G,AGGREGATE(15,6,ROW('Usage Detail'!$A$5:$A$204)/(('Usage Detail'!$B$5:$B$204="Gift")),ROW(A107))),"")</f>
        <v/>
      </c>
      <c r="H114" s="4">
        <f>IFERROR(INDEX('Usage Detail'!$H:$H,AGGREGATE(15,6,ROW('Usage Detail'!$A$5:$A$204)/(('Usage Detail'!$B$5:$B$204="Gift")),ROW(A107))),"")</f>
        <v/>
      </c>
    </row>
    <row r="115">
      <c r="A115" s="3">
        <f>IFERROR(INDEX('Usage Detail'!$A:$A,AGGREGATE(15,6,ROW('Usage Detail'!$A$5:$A$204)/(('Usage Detail'!$B$5:$B$204="Gift")),ROW(A108))),"")</f>
        <v/>
      </c>
      <c r="B115" s="3">
        <f>IFERROR(INDEX('Usage Detail'!$B:$B,AGGREGATE(15,6,ROW('Usage Detail'!$A$5:$A$204)/(('Usage Detail'!$B$5:$B$204="Gift")),ROW(A108))),"")</f>
        <v/>
      </c>
      <c r="C115" s="3">
        <f>IFERROR(INDEX('Usage Detail'!$C:$C,AGGREGATE(15,6,ROW('Usage Detail'!$A$5:$A$204)/(('Usage Detail'!$B$5:$B$204="Gift")),ROW(A108))),"")</f>
        <v/>
      </c>
      <c r="D115" s="3">
        <f>IFERROR(INDEX('Usage Detail'!$D:$D,AGGREGATE(15,6,ROW('Usage Detail'!$A$5:$A$204)/(('Usage Detail'!$B$5:$B$204="Gift")),ROW(A108))),"")</f>
        <v/>
      </c>
      <c r="E115" s="4">
        <f>IFERROR(INDEX('Usage Detail'!$E:$E,AGGREGATE(15,6,ROW('Usage Detail'!$A$5:$A$204)/(('Usage Detail'!$B$5:$B$204="Gift")),ROW(A108))),"")</f>
        <v/>
      </c>
      <c r="F115" s="4">
        <f>IFERROR(INDEX('Usage Detail'!$F:$F,AGGREGATE(15,6,ROW('Usage Detail'!$A$5:$A$204)/(('Usage Detail'!$B$5:$B$204="Gift")),ROW(A108))),"")</f>
        <v/>
      </c>
      <c r="G115" s="4">
        <f>IFERROR(INDEX('Usage Detail'!$G:$G,AGGREGATE(15,6,ROW('Usage Detail'!$A$5:$A$204)/(('Usage Detail'!$B$5:$B$204="Gift")),ROW(A108))),"")</f>
        <v/>
      </c>
      <c r="H115" s="4">
        <f>IFERROR(INDEX('Usage Detail'!$H:$H,AGGREGATE(15,6,ROW('Usage Detail'!$A$5:$A$204)/(('Usage Detail'!$B$5:$B$204="Gift")),ROW(A108))),"")</f>
        <v/>
      </c>
    </row>
    <row r="116">
      <c r="A116" s="3">
        <f>IFERROR(INDEX('Usage Detail'!$A:$A,AGGREGATE(15,6,ROW('Usage Detail'!$A$5:$A$204)/(('Usage Detail'!$B$5:$B$204="Gift")),ROW(A109))),"")</f>
        <v/>
      </c>
      <c r="B116" s="3">
        <f>IFERROR(INDEX('Usage Detail'!$B:$B,AGGREGATE(15,6,ROW('Usage Detail'!$A$5:$A$204)/(('Usage Detail'!$B$5:$B$204="Gift")),ROW(A109))),"")</f>
        <v/>
      </c>
      <c r="C116" s="3">
        <f>IFERROR(INDEX('Usage Detail'!$C:$C,AGGREGATE(15,6,ROW('Usage Detail'!$A$5:$A$204)/(('Usage Detail'!$B$5:$B$204="Gift")),ROW(A109))),"")</f>
        <v/>
      </c>
      <c r="D116" s="3">
        <f>IFERROR(INDEX('Usage Detail'!$D:$D,AGGREGATE(15,6,ROW('Usage Detail'!$A$5:$A$204)/(('Usage Detail'!$B$5:$B$204="Gift")),ROW(A109))),"")</f>
        <v/>
      </c>
      <c r="E116" s="4">
        <f>IFERROR(INDEX('Usage Detail'!$E:$E,AGGREGATE(15,6,ROW('Usage Detail'!$A$5:$A$204)/(('Usage Detail'!$B$5:$B$204="Gift")),ROW(A109))),"")</f>
        <v/>
      </c>
      <c r="F116" s="4">
        <f>IFERROR(INDEX('Usage Detail'!$F:$F,AGGREGATE(15,6,ROW('Usage Detail'!$A$5:$A$204)/(('Usage Detail'!$B$5:$B$204="Gift")),ROW(A109))),"")</f>
        <v/>
      </c>
      <c r="G116" s="4">
        <f>IFERROR(INDEX('Usage Detail'!$G:$G,AGGREGATE(15,6,ROW('Usage Detail'!$A$5:$A$204)/(('Usage Detail'!$B$5:$B$204="Gift")),ROW(A109))),"")</f>
        <v/>
      </c>
      <c r="H116" s="4">
        <f>IFERROR(INDEX('Usage Detail'!$H:$H,AGGREGATE(15,6,ROW('Usage Detail'!$A$5:$A$204)/(('Usage Detail'!$B$5:$B$204="Gift")),ROW(A109))),"")</f>
        <v/>
      </c>
    </row>
    <row r="117">
      <c r="A117" s="3">
        <f>IFERROR(INDEX('Usage Detail'!$A:$A,AGGREGATE(15,6,ROW('Usage Detail'!$A$5:$A$204)/(('Usage Detail'!$B$5:$B$204="Gift")),ROW(A110))),"")</f>
        <v/>
      </c>
      <c r="B117" s="3">
        <f>IFERROR(INDEX('Usage Detail'!$B:$B,AGGREGATE(15,6,ROW('Usage Detail'!$A$5:$A$204)/(('Usage Detail'!$B$5:$B$204="Gift")),ROW(A110))),"")</f>
        <v/>
      </c>
      <c r="C117" s="3">
        <f>IFERROR(INDEX('Usage Detail'!$C:$C,AGGREGATE(15,6,ROW('Usage Detail'!$A$5:$A$204)/(('Usage Detail'!$B$5:$B$204="Gift")),ROW(A110))),"")</f>
        <v/>
      </c>
      <c r="D117" s="3">
        <f>IFERROR(INDEX('Usage Detail'!$D:$D,AGGREGATE(15,6,ROW('Usage Detail'!$A$5:$A$204)/(('Usage Detail'!$B$5:$B$204="Gift")),ROW(A110))),"")</f>
        <v/>
      </c>
      <c r="E117" s="4">
        <f>IFERROR(INDEX('Usage Detail'!$E:$E,AGGREGATE(15,6,ROW('Usage Detail'!$A$5:$A$204)/(('Usage Detail'!$B$5:$B$204="Gift")),ROW(A110))),"")</f>
        <v/>
      </c>
      <c r="F117" s="4">
        <f>IFERROR(INDEX('Usage Detail'!$F:$F,AGGREGATE(15,6,ROW('Usage Detail'!$A$5:$A$204)/(('Usage Detail'!$B$5:$B$204="Gift")),ROW(A110))),"")</f>
        <v/>
      </c>
      <c r="G117" s="4">
        <f>IFERROR(INDEX('Usage Detail'!$G:$G,AGGREGATE(15,6,ROW('Usage Detail'!$A$5:$A$204)/(('Usage Detail'!$B$5:$B$204="Gift")),ROW(A110))),"")</f>
        <v/>
      </c>
      <c r="H117" s="4">
        <f>IFERROR(INDEX('Usage Detail'!$H:$H,AGGREGATE(15,6,ROW('Usage Detail'!$A$5:$A$204)/(('Usage Detail'!$B$5:$B$204="Gift")),ROW(A110))),"")</f>
        <v/>
      </c>
    </row>
    <row r="118">
      <c r="A118" s="3">
        <f>IFERROR(INDEX('Usage Detail'!$A:$A,AGGREGATE(15,6,ROW('Usage Detail'!$A$5:$A$204)/(('Usage Detail'!$B$5:$B$204="Gift")),ROW(A111))),"")</f>
        <v/>
      </c>
      <c r="B118" s="3">
        <f>IFERROR(INDEX('Usage Detail'!$B:$B,AGGREGATE(15,6,ROW('Usage Detail'!$A$5:$A$204)/(('Usage Detail'!$B$5:$B$204="Gift")),ROW(A111))),"")</f>
        <v/>
      </c>
      <c r="C118" s="3">
        <f>IFERROR(INDEX('Usage Detail'!$C:$C,AGGREGATE(15,6,ROW('Usage Detail'!$A$5:$A$204)/(('Usage Detail'!$B$5:$B$204="Gift")),ROW(A111))),"")</f>
        <v/>
      </c>
      <c r="D118" s="3">
        <f>IFERROR(INDEX('Usage Detail'!$D:$D,AGGREGATE(15,6,ROW('Usage Detail'!$A$5:$A$204)/(('Usage Detail'!$B$5:$B$204="Gift")),ROW(A111))),"")</f>
        <v/>
      </c>
      <c r="E118" s="4">
        <f>IFERROR(INDEX('Usage Detail'!$E:$E,AGGREGATE(15,6,ROW('Usage Detail'!$A$5:$A$204)/(('Usage Detail'!$B$5:$B$204="Gift")),ROW(A111))),"")</f>
        <v/>
      </c>
      <c r="F118" s="4">
        <f>IFERROR(INDEX('Usage Detail'!$F:$F,AGGREGATE(15,6,ROW('Usage Detail'!$A$5:$A$204)/(('Usage Detail'!$B$5:$B$204="Gift")),ROW(A111))),"")</f>
        <v/>
      </c>
      <c r="G118" s="4">
        <f>IFERROR(INDEX('Usage Detail'!$G:$G,AGGREGATE(15,6,ROW('Usage Detail'!$A$5:$A$204)/(('Usage Detail'!$B$5:$B$204="Gift")),ROW(A111))),"")</f>
        <v/>
      </c>
      <c r="H118" s="4">
        <f>IFERROR(INDEX('Usage Detail'!$H:$H,AGGREGATE(15,6,ROW('Usage Detail'!$A$5:$A$204)/(('Usage Detail'!$B$5:$B$204="Gift")),ROW(A111))),"")</f>
        <v/>
      </c>
    </row>
    <row r="119">
      <c r="A119" s="3">
        <f>IFERROR(INDEX('Usage Detail'!$A:$A,AGGREGATE(15,6,ROW('Usage Detail'!$A$5:$A$204)/(('Usage Detail'!$B$5:$B$204="Gift")),ROW(A112))),"")</f>
        <v/>
      </c>
      <c r="B119" s="3">
        <f>IFERROR(INDEX('Usage Detail'!$B:$B,AGGREGATE(15,6,ROW('Usage Detail'!$A$5:$A$204)/(('Usage Detail'!$B$5:$B$204="Gift")),ROW(A112))),"")</f>
        <v/>
      </c>
      <c r="C119" s="3">
        <f>IFERROR(INDEX('Usage Detail'!$C:$C,AGGREGATE(15,6,ROW('Usage Detail'!$A$5:$A$204)/(('Usage Detail'!$B$5:$B$204="Gift")),ROW(A112))),"")</f>
        <v/>
      </c>
      <c r="D119" s="3">
        <f>IFERROR(INDEX('Usage Detail'!$D:$D,AGGREGATE(15,6,ROW('Usage Detail'!$A$5:$A$204)/(('Usage Detail'!$B$5:$B$204="Gift")),ROW(A112))),"")</f>
        <v/>
      </c>
      <c r="E119" s="4">
        <f>IFERROR(INDEX('Usage Detail'!$E:$E,AGGREGATE(15,6,ROW('Usage Detail'!$A$5:$A$204)/(('Usage Detail'!$B$5:$B$204="Gift")),ROW(A112))),"")</f>
        <v/>
      </c>
      <c r="F119" s="4">
        <f>IFERROR(INDEX('Usage Detail'!$F:$F,AGGREGATE(15,6,ROW('Usage Detail'!$A$5:$A$204)/(('Usage Detail'!$B$5:$B$204="Gift")),ROW(A112))),"")</f>
        <v/>
      </c>
      <c r="G119" s="4">
        <f>IFERROR(INDEX('Usage Detail'!$G:$G,AGGREGATE(15,6,ROW('Usage Detail'!$A$5:$A$204)/(('Usage Detail'!$B$5:$B$204="Gift")),ROW(A112))),"")</f>
        <v/>
      </c>
      <c r="H119" s="4">
        <f>IFERROR(INDEX('Usage Detail'!$H:$H,AGGREGATE(15,6,ROW('Usage Detail'!$A$5:$A$204)/(('Usage Detail'!$B$5:$B$204="Gift")),ROW(A112))),"")</f>
        <v/>
      </c>
    </row>
    <row r="120">
      <c r="A120" s="3">
        <f>IFERROR(INDEX('Usage Detail'!$A:$A,AGGREGATE(15,6,ROW('Usage Detail'!$A$5:$A$204)/(('Usage Detail'!$B$5:$B$204="Gift")),ROW(A113))),"")</f>
        <v/>
      </c>
      <c r="B120" s="3">
        <f>IFERROR(INDEX('Usage Detail'!$B:$B,AGGREGATE(15,6,ROW('Usage Detail'!$A$5:$A$204)/(('Usage Detail'!$B$5:$B$204="Gift")),ROW(A113))),"")</f>
        <v/>
      </c>
      <c r="C120" s="3">
        <f>IFERROR(INDEX('Usage Detail'!$C:$C,AGGREGATE(15,6,ROW('Usage Detail'!$A$5:$A$204)/(('Usage Detail'!$B$5:$B$204="Gift")),ROW(A113))),"")</f>
        <v/>
      </c>
      <c r="D120" s="3">
        <f>IFERROR(INDEX('Usage Detail'!$D:$D,AGGREGATE(15,6,ROW('Usage Detail'!$A$5:$A$204)/(('Usage Detail'!$B$5:$B$204="Gift")),ROW(A113))),"")</f>
        <v/>
      </c>
      <c r="E120" s="4">
        <f>IFERROR(INDEX('Usage Detail'!$E:$E,AGGREGATE(15,6,ROW('Usage Detail'!$A$5:$A$204)/(('Usage Detail'!$B$5:$B$204="Gift")),ROW(A113))),"")</f>
        <v/>
      </c>
      <c r="F120" s="4">
        <f>IFERROR(INDEX('Usage Detail'!$F:$F,AGGREGATE(15,6,ROW('Usage Detail'!$A$5:$A$204)/(('Usage Detail'!$B$5:$B$204="Gift")),ROW(A113))),"")</f>
        <v/>
      </c>
      <c r="G120" s="4">
        <f>IFERROR(INDEX('Usage Detail'!$G:$G,AGGREGATE(15,6,ROW('Usage Detail'!$A$5:$A$204)/(('Usage Detail'!$B$5:$B$204="Gift")),ROW(A113))),"")</f>
        <v/>
      </c>
      <c r="H120" s="4">
        <f>IFERROR(INDEX('Usage Detail'!$H:$H,AGGREGATE(15,6,ROW('Usage Detail'!$A$5:$A$204)/(('Usage Detail'!$B$5:$B$204="Gift")),ROW(A113))),"")</f>
        <v/>
      </c>
    </row>
    <row r="121">
      <c r="A121" s="3">
        <f>IFERROR(INDEX('Usage Detail'!$A:$A,AGGREGATE(15,6,ROW('Usage Detail'!$A$5:$A$204)/(('Usage Detail'!$B$5:$B$204="Gift")),ROW(A114))),"")</f>
        <v/>
      </c>
      <c r="B121" s="3">
        <f>IFERROR(INDEX('Usage Detail'!$B:$B,AGGREGATE(15,6,ROW('Usage Detail'!$A$5:$A$204)/(('Usage Detail'!$B$5:$B$204="Gift")),ROW(A114))),"")</f>
        <v/>
      </c>
      <c r="C121" s="3">
        <f>IFERROR(INDEX('Usage Detail'!$C:$C,AGGREGATE(15,6,ROW('Usage Detail'!$A$5:$A$204)/(('Usage Detail'!$B$5:$B$204="Gift")),ROW(A114))),"")</f>
        <v/>
      </c>
      <c r="D121" s="3">
        <f>IFERROR(INDEX('Usage Detail'!$D:$D,AGGREGATE(15,6,ROW('Usage Detail'!$A$5:$A$204)/(('Usage Detail'!$B$5:$B$204="Gift")),ROW(A114))),"")</f>
        <v/>
      </c>
      <c r="E121" s="4">
        <f>IFERROR(INDEX('Usage Detail'!$E:$E,AGGREGATE(15,6,ROW('Usage Detail'!$A$5:$A$204)/(('Usage Detail'!$B$5:$B$204="Gift")),ROW(A114))),"")</f>
        <v/>
      </c>
      <c r="F121" s="4">
        <f>IFERROR(INDEX('Usage Detail'!$F:$F,AGGREGATE(15,6,ROW('Usage Detail'!$A$5:$A$204)/(('Usage Detail'!$B$5:$B$204="Gift")),ROW(A114))),"")</f>
        <v/>
      </c>
      <c r="G121" s="4">
        <f>IFERROR(INDEX('Usage Detail'!$G:$G,AGGREGATE(15,6,ROW('Usage Detail'!$A$5:$A$204)/(('Usage Detail'!$B$5:$B$204="Gift")),ROW(A114))),"")</f>
        <v/>
      </c>
      <c r="H121" s="4">
        <f>IFERROR(INDEX('Usage Detail'!$H:$H,AGGREGATE(15,6,ROW('Usage Detail'!$A$5:$A$204)/(('Usage Detail'!$B$5:$B$204="Gift")),ROW(A114))),"")</f>
        <v/>
      </c>
    </row>
    <row r="122">
      <c r="A122" s="3">
        <f>IFERROR(INDEX('Usage Detail'!$A:$A,AGGREGATE(15,6,ROW('Usage Detail'!$A$5:$A$204)/(('Usage Detail'!$B$5:$B$204="Gift")),ROW(A115))),"")</f>
        <v/>
      </c>
      <c r="B122" s="3">
        <f>IFERROR(INDEX('Usage Detail'!$B:$B,AGGREGATE(15,6,ROW('Usage Detail'!$A$5:$A$204)/(('Usage Detail'!$B$5:$B$204="Gift")),ROW(A115))),"")</f>
        <v/>
      </c>
      <c r="C122" s="3">
        <f>IFERROR(INDEX('Usage Detail'!$C:$C,AGGREGATE(15,6,ROW('Usage Detail'!$A$5:$A$204)/(('Usage Detail'!$B$5:$B$204="Gift")),ROW(A115))),"")</f>
        <v/>
      </c>
      <c r="D122" s="3">
        <f>IFERROR(INDEX('Usage Detail'!$D:$D,AGGREGATE(15,6,ROW('Usage Detail'!$A$5:$A$204)/(('Usage Detail'!$B$5:$B$204="Gift")),ROW(A115))),"")</f>
        <v/>
      </c>
      <c r="E122" s="4">
        <f>IFERROR(INDEX('Usage Detail'!$E:$E,AGGREGATE(15,6,ROW('Usage Detail'!$A$5:$A$204)/(('Usage Detail'!$B$5:$B$204="Gift")),ROW(A115))),"")</f>
        <v/>
      </c>
      <c r="F122" s="4">
        <f>IFERROR(INDEX('Usage Detail'!$F:$F,AGGREGATE(15,6,ROW('Usage Detail'!$A$5:$A$204)/(('Usage Detail'!$B$5:$B$204="Gift")),ROW(A115))),"")</f>
        <v/>
      </c>
      <c r="G122" s="4">
        <f>IFERROR(INDEX('Usage Detail'!$G:$G,AGGREGATE(15,6,ROW('Usage Detail'!$A$5:$A$204)/(('Usage Detail'!$B$5:$B$204="Gift")),ROW(A115))),"")</f>
        <v/>
      </c>
      <c r="H122" s="4">
        <f>IFERROR(INDEX('Usage Detail'!$H:$H,AGGREGATE(15,6,ROW('Usage Detail'!$A$5:$A$204)/(('Usage Detail'!$B$5:$B$204="Gift")),ROW(A115))),"")</f>
        <v/>
      </c>
    </row>
    <row r="123">
      <c r="A123" s="3">
        <f>IFERROR(INDEX('Usage Detail'!$A:$A,AGGREGATE(15,6,ROW('Usage Detail'!$A$5:$A$204)/(('Usage Detail'!$B$5:$B$204="Gift")),ROW(A116))),"")</f>
        <v/>
      </c>
      <c r="B123" s="3">
        <f>IFERROR(INDEX('Usage Detail'!$B:$B,AGGREGATE(15,6,ROW('Usage Detail'!$A$5:$A$204)/(('Usage Detail'!$B$5:$B$204="Gift")),ROW(A116))),"")</f>
        <v/>
      </c>
      <c r="C123" s="3">
        <f>IFERROR(INDEX('Usage Detail'!$C:$C,AGGREGATE(15,6,ROW('Usage Detail'!$A$5:$A$204)/(('Usage Detail'!$B$5:$B$204="Gift")),ROW(A116))),"")</f>
        <v/>
      </c>
      <c r="D123" s="3">
        <f>IFERROR(INDEX('Usage Detail'!$D:$D,AGGREGATE(15,6,ROW('Usage Detail'!$A$5:$A$204)/(('Usage Detail'!$B$5:$B$204="Gift")),ROW(A116))),"")</f>
        <v/>
      </c>
      <c r="E123" s="4">
        <f>IFERROR(INDEX('Usage Detail'!$E:$E,AGGREGATE(15,6,ROW('Usage Detail'!$A$5:$A$204)/(('Usage Detail'!$B$5:$B$204="Gift")),ROW(A116))),"")</f>
        <v/>
      </c>
      <c r="F123" s="4">
        <f>IFERROR(INDEX('Usage Detail'!$F:$F,AGGREGATE(15,6,ROW('Usage Detail'!$A$5:$A$204)/(('Usage Detail'!$B$5:$B$204="Gift")),ROW(A116))),"")</f>
        <v/>
      </c>
      <c r="G123" s="4">
        <f>IFERROR(INDEX('Usage Detail'!$G:$G,AGGREGATE(15,6,ROW('Usage Detail'!$A$5:$A$204)/(('Usage Detail'!$B$5:$B$204="Gift")),ROW(A116))),"")</f>
        <v/>
      </c>
      <c r="H123" s="4">
        <f>IFERROR(INDEX('Usage Detail'!$H:$H,AGGREGATE(15,6,ROW('Usage Detail'!$A$5:$A$204)/(('Usage Detail'!$B$5:$B$204="Gift")),ROW(A116))),"")</f>
        <v/>
      </c>
    </row>
    <row r="124">
      <c r="A124" s="3">
        <f>IFERROR(INDEX('Usage Detail'!$A:$A,AGGREGATE(15,6,ROW('Usage Detail'!$A$5:$A$204)/(('Usage Detail'!$B$5:$B$204="Gift")),ROW(A117))),"")</f>
        <v/>
      </c>
      <c r="B124" s="3">
        <f>IFERROR(INDEX('Usage Detail'!$B:$B,AGGREGATE(15,6,ROW('Usage Detail'!$A$5:$A$204)/(('Usage Detail'!$B$5:$B$204="Gift")),ROW(A117))),"")</f>
        <v/>
      </c>
      <c r="C124" s="3">
        <f>IFERROR(INDEX('Usage Detail'!$C:$C,AGGREGATE(15,6,ROW('Usage Detail'!$A$5:$A$204)/(('Usage Detail'!$B$5:$B$204="Gift")),ROW(A117))),"")</f>
        <v/>
      </c>
      <c r="D124" s="3">
        <f>IFERROR(INDEX('Usage Detail'!$D:$D,AGGREGATE(15,6,ROW('Usage Detail'!$A$5:$A$204)/(('Usage Detail'!$B$5:$B$204="Gift")),ROW(A117))),"")</f>
        <v/>
      </c>
      <c r="E124" s="4">
        <f>IFERROR(INDEX('Usage Detail'!$E:$E,AGGREGATE(15,6,ROW('Usage Detail'!$A$5:$A$204)/(('Usage Detail'!$B$5:$B$204="Gift")),ROW(A117))),"")</f>
        <v/>
      </c>
      <c r="F124" s="4">
        <f>IFERROR(INDEX('Usage Detail'!$F:$F,AGGREGATE(15,6,ROW('Usage Detail'!$A$5:$A$204)/(('Usage Detail'!$B$5:$B$204="Gift")),ROW(A117))),"")</f>
        <v/>
      </c>
      <c r="G124" s="4">
        <f>IFERROR(INDEX('Usage Detail'!$G:$G,AGGREGATE(15,6,ROW('Usage Detail'!$A$5:$A$204)/(('Usage Detail'!$B$5:$B$204="Gift")),ROW(A117))),"")</f>
        <v/>
      </c>
      <c r="H124" s="4">
        <f>IFERROR(INDEX('Usage Detail'!$H:$H,AGGREGATE(15,6,ROW('Usage Detail'!$A$5:$A$204)/(('Usage Detail'!$B$5:$B$204="Gift")),ROW(A117))),"")</f>
        <v/>
      </c>
    </row>
    <row r="125">
      <c r="A125" s="3">
        <f>IFERROR(INDEX('Usage Detail'!$A:$A,AGGREGATE(15,6,ROW('Usage Detail'!$A$5:$A$204)/(('Usage Detail'!$B$5:$B$204="Gift")),ROW(A118))),"")</f>
        <v/>
      </c>
      <c r="B125" s="3">
        <f>IFERROR(INDEX('Usage Detail'!$B:$B,AGGREGATE(15,6,ROW('Usage Detail'!$A$5:$A$204)/(('Usage Detail'!$B$5:$B$204="Gift")),ROW(A118))),"")</f>
        <v/>
      </c>
      <c r="C125" s="3">
        <f>IFERROR(INDEX('Usage Detail'!$C:$C,AGGREGATE(15,6,ROW('Usage Detail'!$A$5:$A$204)/(('Usage Detail'!$B$5:$B$204="Gift")),ROW(A118))),"")</f>
        <v/>
      </c>
      <c r="D125" s="3">
        <f>IFERROR(INDEX('Usage Detail'!$D:$D,AGGREGATE(15,6,ROW('Usage Detail'!$A$5:$A$204)/(('Usage Detail'!$B$5:$B$204="Gift")),ROW(A118))),"")</f>
        <v/>
      </c>
      <c r="E125" s="4">
        <f>IFERROR(INDEX('Usage Detail'!$E:$E,AGGREGATE(15,6,ROW('Usage Detail'!$A$5:$A$204)/(('Usage Detail'!$B$5:$B$204="Gift")),ROW(A118))),"")</f>
        <v/>
      </c>
      <c r="F125" s="4">
        <f>IFERROR(INDEX('Usage Detail'!$F:$F,AGGREGATE(15,6,ROW('Usage Detail'!$A$5:$A$204)/(('Usage Detail'!$B$5:$B$204="Gift")),ROW(A118))),"")</f>
        <v/>
      </c>
      <c r="G125" s="4">
        <f>IFERROR(INDEX('Usage Detail'!$G:$G,AGGREGATE(15,6,ROW('Usage Detail'!$A$5:$A$204)/(('Usage Detail'!$B$5:$B$204="Gift")),ROW(A118))),"")</f>
        <v/>
      </c>
      <c r="H125" s="4">
        <f>IFERROR(INDEX('Usage Detail'!$H:$H,AGGREGATE(15,6,ROW('Usage Detail'!$A$5:$A$204)/(('Usage Detail'!$B$5:$B$204="Gift")),ROW(A118))),"")</f>
        <v/>
      </c>
    </row>
    <row r="126">
      <c r="A126" s="3">
        <f>IFERROR(INDEX('Usage Detail'!$A:$A,AGGREGATE(15,6,ROW('Usage Detail'!$A$5:$A$204)/(('Usage Detail'!$B$5:$B$204="Gift")),ROW(A119))),"")</f>
        <v/>
      </c>
      <c r="B126" s="3">
        <f>IFERROR(INDEX('Usage Detail'!$B:$B,AGGREGATE(15,6,ROW('Usage Detail'!$A$5:$A$204)/(('Usage Detail'!$B$5:$B$204="Gift")),ROW(A119))),"")</f>
        <v/>
      </c>
      <c r="C126" s="3">
        <f>IFERROR(INDEX('Usage Detail'!$C:$C,AGGREGATE(15,6,ROW('Usage Detail'!$A$5:$A$204)/(('Usage Detail'!$B$5:$B$204="Gift")),ROW(A119))),"")</f>
        <v/>
      </c>
      <c r="D126" s="3">
        <f>IFERROR(INDEX('Usage Detail'!$D:$D,AGGREGATE(15,6,ROW('Usage Detail'!$A$5:$A$204)/(('Usage Detail'!$B$5:$B$204="Gift")),ROW(A119))),"")</f>
        <v/>
      </c>
      <c r="E126" s="4">
        <f>IFERROR(INDEX('Usage Detail'!$E:$E,AGGREGATE(15,6,ROW('Usage Detail'!$A$5:$A$204)/(('Usage Detail'!$B$5:$B$204="Gift")),ROW(A119))),"")</f>
        <v/>
      </c>
      <c r="F126" s="4">
        <f>IFERROR(INDEX('Usage Detail'!$F:$F,AGGREGATE(15,6,ROW('Usage Detail'!$A$5:$A$204)/(('Usage Detail'!$B$5:$B$204="Gift")),ROW(A119))),"")</f>
        <v/>
      </c>
      <c r="G126" s="4">
        <f>IFERROR(INDEX('Usage Detail'!$G:$G,AGGREGATE(15,6,ROW('Usage Detail'!$A$5:$A$204)/(('Usage Detail'!$B$5:$B$204="Gift")),ROW(A119))),"")</f>
        <v/>
      </c>
      <c r="H126" s="4">
        <f>IFERROR(INDEX('Usage Detail'!$H:$H,AGGREGATE(15,6,ROW('Usage Detail'!$A$5:$A$204)/(('Usage Detail'!$B$5:$B$204="Gift")),ROW(A119))),"")</f>
        <v/>
      </c>
    </row>
    <row r="127">
      <c r="A127" s="3">
        <f>IFERROR(INDEX('Usage Detail'!$A:$A,AGGREGATE(15,6,ROW('Usage Detail'!$A$5:$A$204)/(('Usage Detail'!$B$5:$B$204="Gift")),ROW(A120))),"")</f>
        <v/>
      </c>
      <c r="B127" s="3">
        <f>IFERROR(INDEX('Usage Detail'!$B:$B,AGGREGATE(15,6,ROW('Usage Detail'!$A$5:$A$204)/(('Usage Detail'!$B$5:$B$204="Gift")),ROW(A120))),"")</f>
        <v/>
      </c>
      <c r="C127" s="3">
        <f>IFERROR(INDEX('Usage Detail'!$C:$C,AGGREGATE(15,6,ROW('Usage Detail'!$A$5:$A$204)/(('Usage Detail'!$B$5:$B$204="Gift")),ROW(A120))),"")</f>
        <v/>
      </c>
      <c r="D127" s="3">
        <f>IFERROR(INDEX('Usage Detail'!$D:$D,AGGREGATE(15,6,ROW('Usage Detail'!$A$5:$A$204)/(('Usage Detail'!$B$5:$B$204="Gift")),ROW(A120))),"")</f>
        <v/>
      </c>
      <c r="E127" s="4">
        <f>IFERROR(INDEX('Usage Detail'!$E:$E,AGGREGATE(15,6,ROW('Usage Detail'!$A$5:$A$204)/(('Usage Detail'!$B$5:$B$204="Gift")),ROW(A120))),"")</f>
        <v/>
      </c>
      <c r="F127" s="4">
        <f>IFERROR(INDEX('Usage Detail'!$F:$F,AGGREGATE(15,6,ROW('Usage Detail'!$A$5:$A$204)/(('Usage Detail'!$B$5:$B$204="Gift")),ROW(A120))),"")</f>
        <v/>
      </c>
      <c r="G127" s="4">
        <f>IFERROR(INDEX('Usage Detail'!$G:$G,AGGREGATE(15,6,ROW('Usage Detail'!$A$5:$A$204)/(('Usage Detail'!$B$5:$B$204="Gift")),ROW(A120))),"")</f>
        <v/>
      </c>
      <c r="H127" s="4">
        <f>IFERROR(INDEX('Usage Detail'!$H:$H,AGGREGATE(15,6,ROW('Usage Detail'!$A$5:$A$204)/(('Usage Detail'!$B$5:$B$204="Gift")),ROW(A120))),"")</f>
        <v/>
      </c>
    </row>
    <row r="128">
      <c r="A128" s="3">
        <f>IFERROR(INDEX('Usage Detail'!$A:$A,AGGREGATE(15,6,ROW('Usage Detail'!$A$5:$A$204)/(('Usage Detail'!$B$5:$B$204="Gift")),ROW(A121))),"")</f>
        <v/>
      </c>
      <c r="B128" s="3">
        <f>IFERROR(INDEX('Usage Detail'!$B:$B,AGGREGATE(15,6,ROW('Usage Detail'!$A$5:$A$204)/(('Usage Detail'!$B$5:$B$204="Gift")),ROW(A121))),"")</f>
        <v/>
      </c>
      <c r="C128" s="3">
        <f>IFERROR(INDEX('Usage Detail'!$C:$C,AGGREGATE(15,6,ROW('Usage Detail'!$A$5:$A$204)/(('Usage Detail'!$B$5:$B$204="Gift")),ROW(A121))),"")</f>
        <v/>
      </c>
      <c r="D128" s="3">
        <f>IFERROR(INDEX('Usage Detail'!$D:$D,AGGREGATE(15,6,ROW('Usage Detail'!$A$5:$A$204)/(('Usage Detail'!$B$5:$B$204="Gift")),ROW(A121))),"")</f>
        <v/>
      </c>
      <c r="E128" s="4">
        <f>IFERROR(INDEX('Usage Detail'!$E:$E,AGGREGATE(15,6,ROW('Usage Detail'!$A$5:$A$204)/(('Usage Detail'!$B$5:$B$204="Gift")),ROW(A121))),"")</f>
        <v/>
      </c>
      <c r="F128" s="4">
        <f>IFERROR(INDEX('Usage Detail'!$F:$F,AGGREGATE(15,6,ROW('Usage Detail'!$A$5:$A$204)/(('Usage Detail'!$B$5:$B$204="Gift")),ROW(A121))),"")</f>
        <v/>
      </c>
      <c r="G128" s="4">
        <f>IFERROR(INDEX('Usage Detail'!$G:$G,AGGREGATE(15,6,ROW('Usage Detail'!$A$5:$A$204)/(('Usage Detail'!$B$5:$B$204="Gift")),ROW(A121))),"")</f>
        <v/>
      </c>
      <c r="H128" s="4">
        <f>IFERROR(INDEX('Usage Detail'!$H:$H,AGGREGATE(15,6,ROW('Usage Detail'!$A$5:$A$204)/(('Usage Detail'!$B$5:$B$204="Gift")),ROW(A121))),"")</f>
        <v/>
      </c>
    </row>
    <row r="129">
      <c r="A129" s="3">
        <f>IFERROR(INDEX('Usage Detail'!$A:$A,AGGREGATE(15,6,ROW('Usage Detail'!$A$5:$A$204)/(('Usage Detail'!$B$5:$B$204="Gift")),ROW(A122))),"")</f>
        <v/>
      </c>
      <c r="B129" s="3">
        <f>IFERROR(INDEX('Usage Detail'!$B:$B,AGGREGATE(15,6,ROW('Usage Detail'!$A$5:$A$204)/(('Usage Detail'!$B$5:$B$204="Gift")),ROW(A122))),"")</f>
        <v/>
      </c>
      <c r="C129" s="3">
        <f>IFERROR(INDEX('Usage Detail'!$C:$C,AGGREGATE(15,6,ROW('Usage Detail'!$A$5:$A$204)/(('Usage Detail'!$B$5:$B$204="Gift")),ROW(A122))),"")</f>
        <v/>
      </c>
      <c r="D129" s="3">
        <f>IFERROR(INDEX('Usage Detail'!$D:$D,AGGREGATE(15,6,ROW('Usage Detail'!$A$5:$A$204)/(('Usage Detail'!$B$5:$B$204="Gift")),ROW(A122))),"")</f>
        <v/>
      </c>
      <c r="E129" s="4">
        <f>IFERROR(INDEX('Usage Detail'!$E:$E,AGGREGATE(15,6,ROW('Usage Detail'!$A$5:$A$204)/(('Usage Detail'!$B$5:$B$204="Gift")),ROW(A122))),"")</f>
        <v/>
      </c>
      <c r="F129" s="4">
        <f>IFERROR(INDEX('Usage Detail'!$F:$F,AGGREGATE(15,6,ROW('Usage Detail'!$A$5:$A$204)/(('Usage Detail'!$B$5:$B$204="Gift")),ROW(A122))),"")</f>
        <v/>
      </c>
      <c r="G129" s="4">
        <f>IFERROR(INDEX('Usage Detail'!$G:$G,AGGREGATE(15,6,ROW('Usage Detail'!$A$5:$A$204)/(('Usage Detail'!$B$5:$B$204="Gift")),ROW(A122))),"")</f>
        <v/>
      </c>
      <c r="H129" s="4">
        <f>IFERROR(INDEX('Usage Detail'!$H:$H,AGGREGATE(15,6,ROW('Usage Detail'!$A$5:$A$204)/(('Usage Detail'!$B$5:$B$204="Gift")),ROW(A122))),"")</f>
        <v/>
      </c>
    </row>
    <row r="130">
      <c r="A130" s="3">
        <f>IFERROR(INDEX('Usage Detail'!$A:$A,AGGREGATE(15,6,ROW('Usage Detail'!$A$5:$A$204)/(('Usage Detail'!$B$5:$B$204="Gift")),ROW(A123))),"")</f>
        <v/>
      </c>
      <c r="B130" s="3">
        <f>IFERROR(INDEX('Usage Detail'!$B:$B,AGGREGATE(15,6,ROW('Usage Detail'!$A$5:$A$204)/(('Usage Detail'!$B$5:$B$204="Gift")),ROW(A123))),"")</f>
        <v/>
      </c>
      <c r="C130" s="3">
        <f>IFERROR(INDEX('Usage Detail'!$C:$C,AGGREGATE(15,6,ROW('Usage Detail'!$A$5:$A$204)/(('Usage Detail'!$B$5:$B$204="Gift")),ROW(A123))),"")</f>
        <v/>
      </c>
      <c r="D130" s="3">
        <f>IFERROR(INDEX('Usage Detail'!$D:$D,AGGREGATE(15,6,ROW('Usage Detail'!$A$5:$A$204)/(('Usage Detail'!$B$5:$B$204="Gift")),ROW(A123))),"")</f>
        <v/>
      </c>
      <c r="E130" s="4">
        <f>IFERROR(INDEX('Usage Detail'!$E:$E,AGGREGATE(15,6,ROW('Usage Detail'!$A$5:$A$204)/(('Usage Detail'!$B$5:$B$204="Gift")),ROW(A123))),"")</f>
        <v/>
      </c>
      <c r="F130" s="4">
        <f>IFERROR(INDEX('Usage Detail'!$F:$F,AGGREGATE(15,6,ROW('Usage Detail'!$A$5:$A$204)/(('Usage Detail'!$B$5:$B$204="Gift")),ROW(A123))),"")</f>
        <v/>
      </c>
      <c r="G130" s="4">
        <f>IFERROR(INDEX('Usage Detail'!$G:$G,AGGREGATE(15,6,ROW('Usage Detail'!$A$5:$A$204)/(('Usage Detail'!$B$5:$B$204="Gift")),ROW(A123))),"")</f>
        <v/>
      </c>
      <c r="H130" s="4">
        <f>IFERROR(INDEX('Usage Detail'!$H:$H,AGGREGATE(15,6,ROW('Usage Detail'!$A$5:$A$204)/(('Usage Detail'!$B$5:$B$204="Gift")),ROW(A123))),"")</f>
        <v/>
      </c>
    </row>
    <row r="131">
      <c r="A131" s="3">
        <f>IFERROR(INDEX('Usage Detail'!$A:$A,AGGREGATE(15,6,ROW('Usage Detail'!$A$5:$A$204)/(('Usage Detail'!$B$5:$B$204="Gift")),ROW(A124))),"")</f>
        <v/>
      </c>
      <c r="B131" s="3">
        <f>IFERROR(INDEX('Usage Detail'!$B:$B,AGGREGATE(15,6,ROW('Usage Detail'!$A$5:$A$204)/(('Usage Detail'!$B$5:$B$204="Gift")),ROW(A124))),"")</f>
        <v/>
      </c>
      <c r="C131" s="3">
        <f>IFERROR(INDEX('Usage Detail'!$C:$C,AGGREGATE(15,6,ROW('Usage Detail'!$A$5:$A$204)/(('Usage Detail'!$B$5:$B$204="Gift")),ROW(A124))),"")</f>
        <v/>
      </c>
      <c r="D131" s="3">
        <f>IFERROR(INDEX('Usage Detail'!$D:$D,AGGREGATE(15,6,ROW('Usage Detail'!$A$5:$A$204)/(('Usage Detail'!$B$5:$B$204="Gift")),ROW(A124))),"")</f>
        <v/>
      </c>
      <c r="E131" s="4">
        <f>IFERROR(INDEX('Usage Detail'!$E:$E,AGGREGATE(15,6,ROW('Usage Detail'!$A$5:$A$204)/(('Usage Detail'!$B$5:$B$204="Gift")),ROW(A124))),"")</f>
        <v/>
      </c>
      <c r="F131" s="4">
        <f>IFERROR(INDEX('Usage Detail'!$F:$F,AGGREGATE(15,6,ROW('Usage Detail'!$A$5:$A$204)/(('Usage Detail'!$B$5:$B$204="Gift")),ROW(A124))),"")</f>
        <v/>
      </c>
      <c r="G131" s="4">
        <f>IFERROR(INDEX('Usage Detail'!$G:$G,AGGREGATE(15,6,ROW('Usage Detail'!$A$5:$A$204)/(('Usage Detail'!$B$5:$B$204="Gift")),ROW(A124))),"")</f>
        <v/>
      </c>
      <c r="H131" s="4">
        <f>IFERROR(INDEX('Usage Detail'!$H:$H,AGGREGATE(15,6,ROW('Usage Detail'!$A$5:$A$204)/(('Usage Detail'!$B$5:$B$204="Gift")),ROW(A124))),"")</f>
        <v/>
      </c>
    </row>
    <row r="132">
      <c r="A132" s="3">
        <f>IFERROR(INDEX('Usage Detail'!$A:$A,AGGREGATE(15,6,ROW('Usage Detail'!$A$5:$A$204)/(('Usage Detail'!$B$5:$B$204="Gift")),ROW(A125))),"")</f>
        <v/>
      </c>
      <c r="B132" s="3">
        <f>IFERROR(INDEX('Usage Detail'!$B:$B,AGGREGATE(15,6,ROW('Usage Detail'!$A$5:$A$204)/(('Usage Detail'!$B$5:$B$204="Gift")),ROW(A125))),"")</f>
        <v/>
      </c>
      <c r="C132" s="3">
        <f>IFERROR(INDEX('Usage Detail'!$C:$C,AGGREGATE(15,6,ROW('Usage Detail'!$A$5:$A$204)/(('Usage Detail'!$B$5:$B$204="Gift")),ROW(A125))),"")</f>
        <v/>
      </c>
      <c r="D132" s="3">
        <f>IFERROR(INDEX('Usage Detail'!$D:$D,AGGREGATE(15,6,ROW('Usage Detail'!$A$5:$A$204)/(('Usage Detail'!$B$5:$B$204="Gift")),ROW(A125))),"")</f>
        <v/>
      </c>
      <c r="E132" s="4">
        <f>IFERROR(INDEX('Usage Detail'!$E:$E,AGGREGATE(15,6,ROW('Usage Detail'!$A$5:$A$204)/(('Usage Detail'!$B$5:$B$204="Gift")),ROW(A125))),"")</f>
        <v/>
      </c>
      <c r="F132" s="4">
        <f>IFERROR(INDEX('Usage Detail'!$F:$F,AGGREGATE(15,6,ROW('Usage Detail'!$A$5:$A$204)/(('Usage Detail'!$B$5:$B$204="Gift")),ROW(A125))),"")</f>
        <v/>
      </c>
      <c r="G132" s="4">
        <f>IFERROR(INDEX('Usage Detail'!$G:$G,AGGREGATE(15,6,ROW('Usage Detail'!$A$5:$A$204)/(('Usage Detail'!$B$5:$B$204="Gift")),ROW(A125))),"")</f>
        <v/>
      </c>
      <c r="H132" s="4">
        <f>IFERROR(INDEX('Usage Detail'!$H:$H,AGGREGATE(15,6,ROW('Usage Detail'!$A$5:$A$204)/(('Usage Detail'!$B$5:$B$204="Gift")),ROW(A125))),"")</f>
        <v/>
      </c>
    </row>
    <row r="133">
      <c r="A133" s="3">
        <f>IFERROR(INDEX('Usage Detail'!$A:$A,AGGREGATE(15,6,ROW('Usage Detail'!$A$5:$A$204)/(('Usage Detail'!$B$5:$B$204="Gift")),ROW(A126))),"")</f>
        <v/>
      </c>
      <c r="B133" s="3">
        <f>IFERROR(INDEX('Usage Detail'!$B:$B,AGGREGATE(15,6,ROW('Usage Detail'!$A$5:$A$204)/(('Usage Detail'!$B$5:$B$204="Gift")),ROW(A126))),"")</f>
        <v/>
      </c>
      <c r="C133" s="3">
        <f>IFERROR(INDEX('Usage Detail'!$C:$C,AGGREGATE(15,6,ROW('Usage Detail'!$A$5:$A$204)/(('Usage Detail'!$B$5:$B$204="Gift")),ROW(A126))),"")</f>
        <v/>
      </c>
      <c r="D133" s="3">
        <f>IFERROR(INDEX('Usage Detail'!$D:$D,AGGREGATE(15,6,ROW('Usage Detail'!$A$5:$A$204)/(('Usage Detail'!$B$5:$B$204="Gift")),ROW(A126))),"")</f>
        <v/>
      </c>
      <c r="E133" s="4">
        <f>IFERROR(INDEX('Usage Detail'!$E:$E,AGGREGATE(15,6,ROW('Usage Detail'!$A$5:$A$204)/(('Usage Detail'!$B$5:$B$204="Gift")),ROW(A126))),"")</f>
        <v/>
      </c>
      <c r="F133" s="4">
        <f>IFERROR(INDEX('Usage Detail'!$F:$F,AGGREGATE(15,6,ROW('Usage Detail'!$A$5:$A$204)/(('Usage Detail'!$B$5:$B$204="Gift")),ROW(A126))),"")</f>
        <v/>
      </c>
      <c r="G133" s="4">
        <f>IFERROR(INDEX('Usage Detail'!$G:$G,AGGREGATE(15,6,ROW('Usage Detail'!$A$5:$A$204)/(('Usage Detail'!$B$5:$B$204="Gift")),ROW(A126))),"")</f>
        <v/>
      </c>
      <c r="H133" s="4">
        <f>IFERROR(INDEX('Usage Detail'!$H:$H,AGGREGATE(15,6,ROW('Usage Detail'!$A$5:$A$204)/(('Usage Detail'!$B$5:$B$204="Gift")),ROW(A126))),"")</f>
        <v/>
      </c>
    </row>
    <row r="134">
      <c r="A134" s="3">
        <f>IFERROR(INDEX('Usage Detail'!$A:$A,AGGREGATE(15,6,ROW('Usage Detail'!$A$5:$A$204)/(('Usage Detail'!$B$5:$B$204="Gift")),ROW(A127))),"")</f>
        <v/>
      </c>
      <c r="B134" s="3">
        <f>IFERROR(INDEX('Usage Detail'!$B:$B,AGGREGATE(15,6,ROW('Usage Detail'!$A$5:$A$204)/(('Usage Detail'!$B$5:$B$204="Gift")),ROW(A127))),"")</f>
        <v/>
      </c>
      <c r="C134" s="3">
        <f>IFERROR(INDEX('Usage Detail'!$C:$C,AGGREGATE(15,6,ROW('Usage Detail'!$A$5:$A$204)/(('Usage Detail'!$B$5:$B$204="Gift")),ROW(A127))),"")</f>
        <v/>
      </c>
      <c r="D134" s="3">
        <f>IFERROR(INDEX('Usage Detail'!$D:$D,AGGREGATE(15,6,ROW('Usage Detail'!$A$5:$A$204)/(('Usage Detail'!$B$5:$B$204="Gift")),ROW(A127))),"")</f>
        <v/>
      </c>
      <c r="E134" s="4">
        <f>IFERROR(INDEX('Usage Detail'!$E:$E,AGGREGATE(15,6,ROW('Usage Detail'!$A$5:$A$204)/(('Usage Detail'!$B$5:$B$204="Gift")),ROW(A127))),"")</f>
        <v/>
      </c>
      <c r="F134" s="4">
        <f>IFERROR(INDEX('Usage Detail'!$F:$F,AGGREGATE(15,6,ROW('Usage Detail'!$A$5:$A$204)/(('Usage Detail'!$B$5:$B$204="Gift")),ROW(A127))),"")</f>
        <v/>
      </c>
      <c r="G134" s="4">
        <f>IFERROR(INDEX('Usage Detail'!$G:$G,AGGREGATE(15,6,ROW('Usage Detail'!$A$5:$A$204)/(('Usage Detail'!$B$5:$B$204="Gift")),ROW(A127))),"")</f>
        <v/>
      </c>
      <c r="H134" s="4">
        <f>IFERROR(INDEX('Usage Detail'!$H:$H,AGGREGATE(15,6,ROW('Usage Detail'!$A$5:$A$204)/(('Usage Detail'!$B$5:$B$204="Gift")),ROW(A127))),"")</f>
        <v/>
      </c>
    </row>
    <row r="135">
      <c r="A135" s="3">
        <f>IFERROR(INDEX('Usage Detail'!$A:$A,AGGREGATE(15,6,ROW('Usage Detail'!$A$5:$A$204)/(('Usage Detail'!$B$5:$B$204="Gift")),ROW(A128))),"")</f>
        <v/>
      </c>
      <c r="B135" s="3">
        <f>IFERROR(INDEX('Usage Detail'!$B:$B,AGGREGATE(15,6,ROW('Usage Detail'!$A$5:$A$204)/(('Usage Detail'!$B$5:$B$204="Gift")),ROW(A128))),"")</f>
        <v/>
      </c>
      <c r="C135" s="3">
        <f>IFERROR(INDEX('Usage Detail'!$C:$C,AGGREGATE(15,6,ROW('Usage Detail'!$A$5:$A$204)/(('Usage Detail'!$B$5:$B$204="Gift")),ROW(A128))),"")</f>
        <v/>
      </c>
      <c r="D135" s="3">
        <f>IFERROR(INDEX('Usage Detail'!$D:$D,AGGREGATE(15,6,ROW('Usage Detail'!$A$5:$A$204)/(('Usage Detail'!$B$5:$B$204="Gift")),ROW(A128))),"")</f>
        <v/>
      </c>
      <c r="E135" s="4">
        <f>IFERROR(INDEX('Usage Detail'!$E:$E,AGGREGATE(15,6,ROW('Usage Detail'!$A$5:$A$204)/(('Usage Detail'!$B$5:$B$204="Gift")),ROW(A128))),"")</f>
        <v/>
      </c>
      <c r="F135" s="4">
        <f>IFERROR(INDEX('Usage Detail'!$F:$F,AGGREGATE(15,6,ROW('Usage Detail'!$A$5:$A$204)/(('Usage Detail'!$B$5:$B$204="Gift")),ROW(A128))),"")</f>
        <v/>
      </c>
      <c r="G135" s="4">
        <f>IFERROR(INDEX('Usage Detail'!$G:$G,AGGREGATE(15,6,ROW('Usage Detail'!$A$5:$A$204)/(('Usage Detail'!$B$5:$B$204="Gift")),ROW(A128))),"")</f>
        <v/>
      </c>
      <c r="H135" s="4">
        <f>IFERROR(INDEX('Usage Detail'!$H:$H,AGGREGATE(15,6,ROW('Usage Detail'!$A$5:$A$204)/(('Usage Detail'!$B$5:$B$204="Gift")),ROW(A128))),"")</f>
        <v/>
      </c>
    </row>
    <row r="136">
      <c r="A136" s="3">
        <f>IFERROR(INDEX('Usage Detail'!$A:$A,AGGREGATE(15,6,ROW('Usage Detail'!$A$5:$A$204)/(('Usage Detail'!$B$5:$B$204="Gift")),ROW(A129))),"")</f>
        <v/>
      </c>
      <c r="B136" s="3">
        <f>IFERROR(INDEX('Usage Detail'!$B:$B,AGGREGATE(15,6,ROW('Usage Detail'!$A$5:$A$204)/(('Usage Detail'!$B$5:$B$204="Gift")),ROW(A129))),"")</f>
        <v/>
      </c>
      <c r="C136" s="3">
        <f>IFERROR(INDEX('Usage Detail'!$C:$C,AGGREGATE(15,6,ROW('Usage Detail'!$A$5:$A$204)/(('Usage Detail'!$B$5:$B$204="Gift")),ROW(A129))),"")</f>
        <v/>
      </c>
      <c r="D136" s="3">
        <f>IFERROR(INDEX('Usage Detail'!$D:$D,AGGREGATE(15,6,ROW('Usage Detail'!$A$5:$A$204)/(('Usage Detail'!$B$5:$B$204="Gift")),ROW(A129))),"")</f>
        <v/>
      </c>
      <c r="E136" s="4">
        <f>IFERROR(INDEX('Usage Detail'!$E:$E,AGGREGATE(15,6,ROW('Usage Detail'!$A$5:$A$204)/(('Usage Detail'!$B$5:$B$204="Gift")),ROW(A129))),"")</f>
        <v/>
      </c>
      <c r="F136" s="4">
        <f>IFERROR(INDEX('Usage Detail'!$F:$F,AGGREGATE(15,6,ROW('Usage Detail'!$A$5:$A$204)/(('Usage Detail'!$B$5:$B$204="Gift")),ROW(A129))),"")</f>
        <v/>
      </c>
      <c r="G136" s="4">
        <f>IFERROR(INDEX('Usage Detail'!$G:$G,AGGREGATE(15,6,ROW('Usage Detail'!$A$5:$A$204)/(('Usage Detail'!$B$5:$B$204="Gift")),ROW(A129))),"")</f>
        <v/>
      </c>
      <c r="H136" s="4">
        <f>IFERROR(INDEX('Usage Detail'!$H:$H,AGGREGATE(15,6,ROW('Usage Detail'!$A$5:$A$204)/(('Usage Detail'!$B$5:$B$204="Gift")),ROW(A129))),"")</f>
        <v/>
      </c>
    </row>
    <row r="137">
      <c r="A137" s="3">
        <f>IFERROR(INDEX('Usage Detail'!$A:$A,AGGREGATE(15,6,ROW('Usage Detail'!$A$5:$A$204)/(('Usage Detail'!$B$5:$B$204="Gift")),ROW(A130))),"")</f>
        <v/>
      </c>
      <c r="B137" s="3">
        <f>IFERROR(INDEX('Usage Detail'!$B:$B,AGGREGATE(15,6,ROW('Usage Detail'!$A$5:$A$204)/(('Usage Detail'!$B$5:$B$204="Gift")),ROW(A130))),"")</f>
        <v/>
      </c>
      <c r="C137" s="3">
        <f>IFERROR(INDEX('Usage Detail'!$C:$C,AGGREGATE(15,6,ROW('Usage Detail'!$A$5:$A$204)/(('Usage Detail'!$B$5:$B$204="Gift")),ROW(A130))),"")</f>
        <v/>
      </c>
      <c r="D137" s="3">
        <f>IFERROR(INDEX('Usage Detail'!$D:$D,AGGREGATE(15,6,ROW('Usage Detail'!$A$5:$A$204)/(('Usage Detail'!$B$5:$B$204="Gift")),ROW(A130))),"")</f>
        <v/>
      </c>
      <c r="E137" s="4">
        <f>IFERROR(INDEX('Usage Detail'!$E:$E,AGGREGATE(15,6,ROW('Usage Detail'!$A$5:$A$204)/(('Usage Detail'!$B$5:$B$204="Gift")),ROW(A130))),"")</f>
        <v/>
      </c>
      <c r="F137" s="4">
        <f>IFERROR(INDEX('Usage Detail'!$F:$F,AGGREGATE(15,6,ROW('Usage Detail'!$A$5:$A$204)/(('Usage Detail'!$B$5:$B$204="Gift")),ROW(A130))),"")</f>
        <v/>
      </c>
      <c r="G137" s="4">
        <f>IFERROR(INDEX('Usage Detail'!$G:$G,AGGREGATE(15,6,ROW('Usage Detail'!$A$5:$A$204)/(('Usage Detail'!$B$5:$B$204="Gift")),ROW(A130))),"")</f>
        <v/>
      </c>
      <c r="H137" s="4">
        <f>IFERROR(INDEX('Usage Detail'!$H:$H,AGGREGATE(15,6,ROW('Usage Detail'!$A$5:$A$204)/(('Usage Detail'!$B$5:$B$204="Gift")),ROW(A130))),"")</f>
        <v/>
      </c>
    </row>
    <row r="138">
      <c r="A138" s="3">
        <f>IFERROR(INDEX('Usage Detail'!$A:$A,AGGREGATE(15,6,ROW('Usage Detail'!$A$5:$A$204)/(('Usage Detail'!$B$5:$B$204="Gift")),ROW(A131))),"")</f>
        <v/>
      </c>
      <c r="B138" s="3">
        <f>IFERROR(INDEX('Usage Detail'!$B:$B,AGGREGATE(15,6,ROW('Usage Detail'!$A$5:$A$204)/(('Usage Detail'!$B$5:$B$204="Gift")),ROW(A131))),"")</f>
        <v/>
      </c>
      <c r="C138" s="3">
        <f>IFERROR(INDEX('Usage Detail'!$C:$C,AGGREGATE(15,6,ROW('Usage Detail'!$A$5:$A$204)/(('Usage Detail'!$B$5:$B$204="Gift")),ROW(A131))),"")</f>
        <v/>
      </c>
      <c r="D138" s="3">
        <f>IFERROR(INDEX('Usage Detail'!$D:$D,AGGREGATE(15,6,ROW('Usage Detail'!$A$5:$A$204)/(('Usage Detail'!$B$5:$B$204="Gift")),ROW(A131))),"")</f>
        <v/>
      </c>
      <c r="E138" s="4">
        <f>IFERROR(INDEX('Usage Detail'!$E:$E,AGGREGATE(15,6,ROW('Usage Detail'!$A$5:$A$204)/(('Usage Detail'!$B$5:$B$204="Gift")),ROW(A131))),"")</f>
        <v/>
      </c>
      <c r="F138" s="4">
        <f>IFERROR(INDEX('Usage Detail'!$F:$F,AGGREGATE(15,6,ROW('Usage Detail'!$A$5:$A$204)/(('Usage Detail'!$B$5:$B$204="Gift")),ROW(A131))),"")</f>
        <v/>
      </c>
      <c r="G138" s="4">
        <f>IFERROR(INDEX('Usage Detail'!$G:$G,AGGREGATE(15,6,ROW('Usage Detail'!$A$5:$A$204)/(('Usage Detail'!$B$5:$B$204="Gift")),ROW(A131))),"")</f>
        <v/>
      </c>
      <c r="H138" s="4">
        <f>IFERROR(INDEX('Usage Detail'!$H:$H,AGGREGATE(15,6,ROW('Usage Detail'!$A$5:$A$204)/(('Usage Detail'!$B$5:$B$204="Gift")),ROW(A131))),"")</f>
        <v/>
      </c>
    </row>
    <row r="139">
      <c r="A139" s="3">
        <f>IFERROR(INDEX('Usage Detail'!$A:$A,AGGREGATE(15,6,ROW('Usage Detail'!$A$5:$A$204)/(('Usage Detail'!$B$5:$B$204="Gift")),ROW(A132))),"")</f>
        <v/>
      </c>
      <c r="B139" s="3">
        <f>IFERROR(INDEX('Usage Detail'!$B:$B,AGGREGATE(15,6,ROW('Usage Detail'!$A$5:$A$204)/(('Usage Detail'!$B$5:$B$204="Gift")),ROW(A132))),"")</f>
        <v/>
      </c>
      <c r="C139" s="3">
        <f>IFERROR(INDEX('Usage Detail'!$C:$C,AGGREGATE(15,6,ROW('Usage Detail'!$A$5:$A$204)/(('Usage Detail'!$B$5:$B$204="Gift")),ROW(A132))),"")</f>
        <v/>
      </c>
      <c r="D139" s="3">
        <f>IFERROR(INDEX('Usage Detail'!$D:$D,AGGREGATE(15,6,ROW('Usage Detail'!$A$5:$A$204)/(('Usage Detail'!$B$5:$B$204="Gift")),ROW(A132))),"")</f>
        <v/>
      </c>
      <c r="E139" s="4">
        <f>IFERROR(INDEX('Usage Detail'!$E:$E,AGGREGATE(15,6,ROW('Usage Detail'!$A$5:$A$204)/(('Usage Detail'!$B$5:$B$204="Gift")),ROW(A132))),"")</f>
        <v/>
      </c>
      <c r="F139" s="4">
        <f>IFERROR(INDEX('Usage Detail'!$F:$F,AGGREGATE(15,6,ROW('Usage Detail'!$A$5:$A$204)/(('Usage Detail'!$B$5:$B$204="Gift")),ROW(A132))),"")</f>
        <v/>
      </c>
      <c r="G139" s="4">
        <f>IFERROR(INDEX('Usage Detail'!$G:$G,AGGREGATE(15,6,ROW('Usage Detail'!$A$5:$A$204)/(('Usage Detail'!$B$5:$B$204="Gift")),ROW(A132))),"")</f>
        <v/>
      </c>
      <c r="H139" s="4">
        <f>IFERROR(INDEX('Usage Detail'!$H:$H,AGGREGATE(15,6,ROW('Usage Detail'!$A$5:$A$204)/(('Usage Detail'!$B$5:$B$204="Gift")),ROW(A132))),"")</f>
        <v/>
      </c>
    </row>
    <row r="140">
      <c r="A140" s="3">
        <f>IFERROR(INDEX('Usage Detail'!$A:$A,AGGREGATE(15,6,ROW('Usage Detail'!$A$5:$A$204)/(('Usage Detail'!$B$5:$B$204="Gift")),ROW(A133))),"")</f>
        <v/>
      </c>
      <c r="B140" s="3">
        <f>IFERROR(INDEX('Usage Detail'!$B:$B,AGGREGATE(15,6,ROW('Usage Detail'!$A$5:$A$204)/(('Usage Detail'!$B$5:$B$204="Gift")),ROW(A133))),"")</f>
        <v/>
      </c>
      <c r="C140" s="3">
        <f>IFERROR(INDEX('Usage Detail'!$C:$C,AGGREGATE(15,6,ROW('Usage Detail'!$A$5:$A$204)/(('Usage Detail'!$B$5:$B$204="Gift")),ROW(A133))),"")</f>
        <v/>
      </c>
      <c r="D140" s="3">
        <f>IFERROR(INDEX('Usage Detail'!$D:$D,AGGREGATE(15,6,ROW('Usage Detail'!$A$5:$A$204)/(('Usage Detail'!$B$5:$B$204="Gift")),ROW(A133))),"")</f>
        <v/>
      </c>
      <c r="E140" s="4">
        <f>IFERROR(INDEX('Usage Detail'!$E:$E,AGGREGATE(15,6,ROW('Usage Detail'!$A$5:$A$204)/(('Usage Detail'!$B$5:$B$204="Gift")),ROW(A133))),"")</f>
        <v/>
      </c>
      <c r="F140" s="4">
        <f>IFERROR(INDEX('Usage Detail'!$F:$F,AGGREGATE(15,6,ROW('Usage Detail'!$A$5:$A$204)/(('Usage Detail'!$B$5:$B$204="Gift")),ROW(A133))),"")</f>
        <v/>
      </c>
      <c r="G140" s="4">
        <f>IFERROR(INDEX('Usage Detail'!$G:$G,AGGREGATE(15,6,ROW('Usage Detail'!$A$5:$A$204)/(('Usage Detail'!$B$5:$B$204="Gift")),ROW(A133))),"")</f>
        <v/>
      </c>
      <c r="H140" s="4">
        <f>IFERROR(INDEX('Usage Detail'!$H:$H,AGGREGATE(15,6,ROW('Usage Detail'!$A$5:$A$204)/(('Usage Detail'!$B$5:$B$204="Gift")),ROW(A133))),"")</f>
        <v/>
      </c>
    </row>
    <row r="141">
      <c r="A141" s="3">
        <f>IFERROR(INDEX('Usage Detail'!$A:$A,AGGREGATE(15,6,ROW('Usage Detail'!$A$5:$A$204)/(('Usage Detail'!$B$5:$B$204="Gift")),ROW(A134))),"")</f>
        <v/>
      </c>
      <c r="B141" s="3">
        <f>IFERROR(INDEX('Usage Detail'!$B:$B,AGGREGATE(15,6,ROW('Usage Detail'!$A$5:$A$204)/(('Usage Detail'!$B$5:$B$204="Gift")),ROW(A134))),"")</f>
        <v/>
      </c>
      <c r="C141" s="3">
        <f>IFERROR(INDEX('Usage Detail'!$C:$C,AGGREGATE(15,6,ROW('Usage Detail'!$A$5:$A$204)/(('Usage Detail'!$B$5:$B$204="Gift")),ROW(A134))),"")</f>
        <v/>
      </c>
      <c r="D141" s="3">
        <f>IFERROR(INDEX('Usage Detail'!$D:$D,AGGREGATE(15,6,ROW('Usage Detail'!$A$5:$A$204)/(('Usage Detail'!$B$5:$B$204="Gift")),ROW(A134))),"")</f>
        <v/>
      </c>
      <c r="E141" s="4">
        <f>IFERROR(INDEX('Usage Detail'!$E:$E,AGGREGATE(15,6,ROW('Usage Detail'!$A$5:$A$204)/(('Usage Detail'!$B$5:$B$204="Gift")),ROW(A134))),"")</f>
        <v/>
      </c>
      <c r="F141" s="4">
        <f>IFERROR(INDEX('Usage Detail'!$F:$F,AGGREGATE(15,6,ROW('Usage Detail'!$A$5:$A$204)/(('Usage Detail'!$B$5:$B$204="Gift")),ROW(A134))),"")</f>
        <v/>
      </c>
      <c r="G141" s="4">
        <f>IFERROR(INDEX('Usage Detail'!$G:$G,AGGREGATE(15,6,ROW('Usage Detail'!$A$5:$A$204)/(('Usage Detail'!$B$5:$B$204="Gift")),ROW(A134))),"")</f>
        <v/>
      </c>
      <c r="H141" s="4">
        <f>IFERROR(INDEX('Usage Detail'!$H:$H,AGGREGATE(15,6,ROW('Usage Detail'!$A$5:$A$204)/(('Usage Detail'!$B$5:$B$204="Gift")),ROW(A134))),"")</f>
        <v/>
      </c>
    </row>
    <row r="142">
      <c r="A142" s="3">
        <f>IFERROR(INDEX('Usage Detail'!$A:$A,AGGREGATE(15,6,ROW('Usage Detail'!$A$5:$A$204)/(('Usage Detail'!$B$5:$B$204="Gift")),ROW(A135))),"")</f>
        <v/>
      </c>
      <c r="B142" s="3">
        <f>IFERROR(INDEX('Usage Detail'!$B:$B,AGGREGATE(15,6,ROW('Usage Detail'!$A$5:$A$204)/(('Usage Detail'!$B$5:$B$204="Gift")),ROW(A135))),"")</f>
        <v/>
      </c>
      <c r="C142" s="3">
        <f>IFERROR(INDEX('Usage Detail'!$C:$C,AGGREGATE(15,6,ROW('Usage Detail'!$A$5:$A$204)/(('Usage Detail'!$B$5:$B$204="Gift")),ROW(A135))),"")</f>
        <v/>
      </c>
      <c r="D142" s="3">
        <f>IFERROR(INDEX('Usage Detail'!$D:$D,AGGREGATE(15,6,ROW('Usage Detail'!$A$5:$A$204)/(('Usage Detail'!$B$5:$B$204="Gift")),ROW(A135))),"")</f>
        <v/>
      </c>
      <c r="E142" s="4">
        <f>IFERROR(INDEX('Usage Detail'!$E:$E,AGGREGATE(15,6,ROW('Usage Detail'!$A$5:$A$204)/(('Usage Detail'!$B$5:$B$204="Gift")),ROW(A135))),"")</f>
        <v/>
      </c>
      <c r="F142" s="4">
        <f>IFERROR(INDEX('Usage Detail'!$F:$F,AGGREGATE(15,6,ROW('Usage Detail'!$A$5:$A$204)/(('Usage Detail'!$B$5:$B$204="Gift")),ROW(A135))),"")</f>
        <v/>
      </c>
      <c r="G142" s="4">
        <f>IFERROR(INDEX('Usage Detail'!$G:$G,AGGREGATE(15,6,ROW('Usage Detail'!$A$5:$A$204)/(('Usage Detail'!$B$5:$B$204="Gift")),ROW(A135))),"")</f>
        <v/>
      </c>
      <c r="H142" s="4">
        <f>IFERROR(INDEX('Usage Detail'!$H:$H,AGGREGATE(15,6,ROW('Usage Detail'!$A$5:$A$204)/(('Usage Detail'!$B$5:$B$204="Gift")),ROW(A135))),"")</f>
        <v/>
      </c>
    </row>
    <row r="143">
      <c r="A143" s="3">
        <f>IFERROR(INDEX('Usage Detail'!$A:$A,AGGREGATE(15,6,ROW('Usage Detail'!$A$5:$A$204)/(('Usage Detail'!$B$5:$B$204="Gift")),ROW(A136))),"")</f>
        <v/>
      </c>
      <c r="B143" s="3">
        <f>IFERROR(INDEX('Usage Detail'!$B:$B,AGGREGATE(15,6,ROW('Usage Detail'!$A$5:$A$204)/(('Usage Detail'!$B$5:$B$204="Gift")),ROW(A136))),"")</f>
        <v/>
      </c>
      <c r="C143" s="3">
        <f>IFERROR(INDEX('Usage Detail'!$C:$C,AGGREGATE(15,6,ROW('Usage Detail'!$A$5:$A$204)/(('Usage Detail'!$B$5:$B$204="Gift")),ROW(A136))),"")</f>
        <v/>
      </c>
      <c r="D143" s="3">
        <f>IFERROR(INDEX('Usage Detail'!$D:$D,AGGREGATE(15,6,ROW('Usage Detail'!$A$5:$A$204)/(('Usage Detail'!$B$5:$B$204="Gift")),ROW(A136))),"")</f>
        <v/>
      </c>
      <c r="E143" s="4">
        <f>IFERROR(INDEX('Usage Detail'!$E:$E,AGGREGATE(15,6,ROW('Usage Detail'!$A$5:$A$204)/(('Usage Detail'!$B$5:$B$204="Gift")),ROW(A136))),"")</f>
        <v/>
      </c>
      <c r="F143" s="4">
        <f>IFERROR(INDEX('Usage Detail'!$F:$F,AGGREGATE(15,6,ROW('Usage Detail'!$A$5:$A$204)/(('Usage Detail'!$B$5:$B$204="Gift")),ROW(A136))),"")</f>
        <v/>
      </c>
      <c r="G143" s="4">
        <f>IFERROR(INDEX('Usage Detail'!$G:$G,AGGREGATE(15,6,ROW('Usage Detail'!$A$5:$A$204)/(('Usage Detail'!$B$5:$B$204="Gift")),ROW(A136))),"")</f>
        <v/>
      </c>
      <c r="H143" s="4">
        <f>IFERROR(INDEX('Usage Detail'!$H:$H,AGGREGATE(15,6,ROW('Usage Detail'!$A$5:$A$204)/(('Usage Detail'!$B$5:$B$204="Gift")),ROW(A136))),"")</f>
        <v/>
      </c>
    </row>
    <row r="144">
      <c r="A144" s="3">
        <f>IFERROR(INDEX('Usage Detail'!$A:$A,AGGREGATE(15,6,ROW('Usage Detail'!$A$5:$A$204)/(('Usage Detail'!$B$5:$B$204="Gift")),ROW(A137))),"")</f>
        <v/>
      </c>
      <c r="B144" s="3">
        <f>IFERROR(INDEX('Usage Detail'!$B:$B,AGGREGATE(15,6,ROW('Usage Detail'!$A$5:$A$204)/(('Usage Detail'!$B$5:$B$204="Gift")),ROW(A137))),"")</f>
        <v/>
      </c>
      <c r="C144" s="3">
        <f>IFERROR(INDEX('Usage Detail'!$C:$C,AGGREGATE(15,6,ROW('Usage Detail'!$A$5:$A$204)/(('Usage Detail'!$B$5:$B$204="Gift")),ROW(A137))),"")</f>
        <v/>
      </c>
      <c r="D144" s="3">
        <f>IFERROR(INDEX('Usage Detail'!$D:$D,AGGREGATE(15,6,ROW('Usage Detail'!$A$5:$A$204)/(('Usage Detail'!$B$5:$B$204="Gift")),ROW(A137))),"")</f>
        <v/>
      </c>
      <c r="E144" s="4">
        <f>IFERROR(INDEX('Usage Detail'!$E:$E,AGGREGATE(15,6,ROW('Usage Detail'!$A$5:$A$204)/(('Usage Detail'!$B$5:$B$204="Gift")),ROW(A137))),"")</f>
        <v/>
      </c>
      <c r="F144" s="4">
        <f>IFERROR(INDEX('Usage Detail'!$F:$F,AGGREGATE(15,6,ROW('Usage Detail'!$A$5:$A$204)/(('Usage Detail'!$B$5:$B$204="Gift")),ROW(A137))),"")</f>
        <v/>
      </c>
      <c r="G144" s="4">
        <f>IFERROR(INDEX('Usage Detail'!$G:$G,AGGREGATE(15,6,ROW('Usage Detail'!$A$5:$A$204)/(('Usage Detail'!$B$5:$B$204="Gift")),ROW(A137))),"")</f>
        <v/>
      </c>
      <c r="H144" s="4">
        <f>IFERROR(INDEX('Usage Detail'!$H:$H,AGGREGATE(15,6,ROW('Usage Detail'!$A$5:$A$204)/(('Usage Detail'!$B$5:$B$204="Gift")),ROW(A137))),"")</f>
        <v/>
      </c>
    </row>
    <row r="145">
      <c r="A145" s="3">
        <f>IFERROR(INDEX('Usage Detail'!$A:$A,AGGREGATE(15,6,ROW('Usage Detail'!$A$5:$A$204)/(('Usage Detail'!$B$5:$B$204="Gift")),ROW(A138))),"")</f>
        <v/>
      </c>
      <c r="B145" s="3">
        <f>IFERROR(INDEX('Usage Detail'!$B:$B,AGGREGATE(15,6,ROW('Usage Detail'!$A$5:$A$204)/(('Usage Detail'!$B$5:$B$204="Gift")),ROW(A138))),"")</f>
        <v/>
      </c>
      <c r="C145" s="3">
        <f>IFERROR(INDEX('Usage Detail'!$C:$C,AGGREGATE(15,6,ROW('Usage Detail'!$A$5:$A$204)/(('Usage Detail'!$B$5:$B$204="Gift")),ROW(A138))),"")</f>
        <v/>
      </c>
      <c r="D145" s="3">
        <f>IFERROR(INDEX('Usage Detail'!$D:$D,AGGREGATE(15,6,ROW('Usage Detail'!$A$5:$A$204)/(('Usage Detail'!$B$5:$B$204="Gift")),ROW(A138))),"")</f>
        <v/>
      </c>
      <c r="E145" s="4">
        <f>IFERROR(INDEX('Usage Detail'!$E:$E,AGGREGATE(15,6,ROW('Usage Detail'!$A$5:$A$204)/(('Usage Detail'!$B$5:$B$204="Gift")),ROW(A138))),"")</f>
        <v/>
      </c>
      <c r="F145" s="4">
        <f>IFERROR(INDEX('Usage Detail'!$F:$F,AGGREGATE(15,6,ROW('Usage Detail'!$A$5:$A$204)/(('Usage Detail'!$B$5:$B$204="Gift")),ROW(A138))),"")</f>
        <v/>
      </c>
      <c r="G145" s="4">
        <f>IFERROR(INDEX('Usage Detail'!$G:$G,AGGREGATE(15,6,ROW('Usage Detail'!$A$5:$A$204)/(('Usage Detail'!$B$5:$B$204="Gift")),ROW(A138))),"")</f>
        <v/>
      </c>
      <c r="H145" s="4">
        <f>IFERROR(INDEX('Usage Detail'!$H:$H,AGGREGATE(15,6,ROW('Usage Detail'!$A$5:$A$204)/(('Usage Detail'!$B$5:$B$204="Gift")),ROW(A138))),"")</f>
        <v/>
      </c>
    </row>
    <row r="146">
      <c r="A146" s="3">
        <f>IFERROR(INDEX('Usage Detail'!$A:$A,AGGREGATE(15,6,ROW('Usage Detail'!$A$5:$A$204)/(('Usage Detail'!$B$5:$B$204="Gift")),ROW(A139))),"")</f>
        <v/>
      </c>
      <c r="B146" s="3">
        <f>IFERROR(INDEX('Usage Detail'!$B:$B,AGGREGATE(15,6,ROW('Usage Detail'!$A$5:$A$204)/(('Usage Detail'!$B$5:$B$204="Gift")),ROW(A139))),"")</f>
        <v/>
      </c>
      <c r="C146" s="3">
        <f>IFERROR(INDEX('Usage Detail'!$C:$C,AGGREGATE(15,6,ROW('Usage Detail'!$A$5:$A$204)/(('Usage Detail'!$B$5:$B$204="Gift")),ROW(A139))),"")</f>
        <v/>
      </c>
      <c r="D146" s="3">
        <f>IFERROR(INDEX('Usage Detail'!$D:$D,AGGREGATE(15,6,ROW('Usage Detail'!$A$5:$A$204)/(('Usage Detail'!$B$5:$B$204="Gift")),ROW(A139))),"")</f>
        <v/>
      </c>
      <c r="E146" s="4">
        <f>IFERROR(INDEX('Usage Detail'!$E:$E,AGGREGATE(15,6,ROW('Usage Detail'!$A$5:$A$204)/(('Usage Detail'!$B$5:$B$204="Gift")),ROW(A139))),"")</f>
        <v/>
      </c>
      <c r="F146" s="4">
        <f>IFERROR(INDEX('Usage Detail'!$F:$F,AGGREGATE(15,6,ROW('Usage Detail'!$A$5:$A$204)/(('Usage Detail'!$B$5:$B$204="Gift")),ROW(A139))),"")</f>
        <v/>
      </c>
      <c r="G146" s="4">
        <f>IFERROR(INDEX('Usage Detail'!$G:$G,AGGREGATE(15,6,ROW('Usage Detail'!$A$5:$A$204)/(('Usage Detail'!$B$5:$B$204="Gift")),ROW(A139))),"")</f>
        <v/>
      </c>
      <c r="H146" s="4">
        <f>IFERROR(INDEX('Usage Detail'!$H:$H,AGGREGATE(15,6,ROW('Usage Detail'!$A$5:$A$204)/(('Usage Detail'!$B$5:$B$204="Gift")),ROW(A139))),"")</f>
        <v/>
      </c>
    </row>
    <row r="147">
      <c r="A147" s="3">
        <f>IFERROR(INDEX('Usage Detail'!$A:$A,AGGREGATE(15,6,ROW('Usage Detail'!$A$5:$A$204)/(('Usage Detail'!$B$5:$B$204="Gift")),ROW(A140))),"")</f>
        <v/>
      </c>
      <c r="B147" s="3">
        <f>IFERROR(INDEX('Usage Detail'!$B:$B,AGGREGATE(15,6,ROW('Usage Detail'!$A$5:$A$204)/(('Usage Detail'!$B$5:$B$204="Gift")),ROW(A140))),"")</f>
        <v/>
      </c>
      <c r="C147" s="3">
        <f>IFERROR(INDEX('Usage Detail'!$C:$C,AGGREGATE(15,6,ROW('Usage Detail'!$A$5:$A$204)/(('Usage Detail'!$B$5:$B$204="Gift")),ROW(A140))),"")</f>
        <v/>
      </c>
      <c r="D147" s="3">
        <f>IFERROR(INDEX('Usage Detail'!$D:$D,AGGREGATE(15,6,ROW('Usage Detail'!$A$5:$A$204)/(('Usage Detail'!$B$5:$B$204="Gift")),ROW(A140))),"")</f>
        <v/>
      </c>
      <c r="E147" s="4">
        <f>IFERROR(INDEX('Usage Detail'!$E:$E,AGGREGATE(15,6,ROW('Usage Detail'!$A$5:$A$204)/(('Usage Detail'!$B$5:$B$204="Gift")),ROW(A140))),"")</f>
        <v/>
      </c>
      <c r="F147" s="4">
        <f>IFERROR(INDEX('Usage Detail'!$F:$F,AGGREGATE(15,6,ROW('Usage Detail'!$A$5:$A$204)/(('Usage Detail'!$B$5:$B$204="Gift")),ROW(A140))),"")</f>
        <v/>
      </c>
      <c r="G147" s="4">
        <f>IFERROR(INDEX('Usage Detail'!$G:$G,AGGREGATE(15,6,ROW('Usage Detail'!$A$5:$A$204)/(('Usage Detail'!$B$5:$B$204="Gift")),ROW(A140))),"")</f>
        <v/>
      </c>
      <c r="H147" s="4">
        <f>IFERROR(INDEX('Usage Detail'!$H:$H,AGGREGATE(15,6,ROW('Usage Detail'!$A$5:$A$204)/(('Usage Detail'!$B$5:$B$204="Gift")),ROW(A140))),"")</f>
        <v/>
      </c>
    </row>
    <row r="148">
      <c r="A148" s="3">
        <f>IFERROR(INDEX('Usage Detail'!$A:$A,AGGREGATE(15,6,ROW('Usage Detail'!$A$5:$A$204)/(('Usage Detail'!$B$5:$B$204="Gift")),ROW(A141))),"")</f>
        <v/>
      </c>
      <c r="B148" s="3">
        <f>IFERROR(INDEX('Usage Detail'!$B:$B,AGGREGATE(15,6,ROW('Usage Detail'!$A$5:$A$204)/(('Usage Detail'!$B$5:$B$204="Gift")),ROW(A141))),"")</f>
        <v/>
      </c>
      <c r="C148" s="3">
        <f>IFERROR(INDEX('Usage Detail'!$C:$C,AGGREGATE(15,6,ROW('Usage Detail'!$A$5:$A$204)/(('Usage Detail'!$B$5:$B$204="Gift")),ROW(A141))),"")</f>
        <v/>
      </c>
      <c r="D148" s="3">
        <f>IFERROR(INDEX('Usage Detail'!$D:$D,AGGREGATE(15,6,ROW('Usage Detail'!$A$5:$A$204)/(('Usage Detail'!$B$5:$B$204="Gift")),ROW(A141))),"")</f>
        <v/>
      </c>
      <c r="E148" s="4">
        <f>IFERROR(INDEX('Usage Detail'!$E:$E,AGGREGATE(15,6,ROW('Usage Detail'!$A$5:$A$204)/(('Usage Detail'!$B$5:$B$204="Gift")),ROW(A141))),"")</f>
        <v/>
      </c>
      <c r="F148" s="4">
        <f>IFERROR(INDEX('Usage Detail'!$F:$F,AGGREGATE(15,6,ROW('Usage Detail'!$A$5:$A$204)/(('Usage Detail'!$B$5:$B$204="Gift")),ROW(A141))),"")</f>
        <v/>
      </c>
      <c r="G148" s="4">
        <f>IFERROR(INDEX('Usage Detail'!$G:$G,AGGREGATE(15,6,ROW('Usage Detail'!$A$5:$A$204)/(('Usage Detail'!$B$5:$B$204="Gift")),ROW(A141))),"")</f>
        <v/>
      </c>
      <c r="H148" s="4">
        <f>IFERROR(INDEX('Usage Detail'!$H:$H,AGGREGATE(15,6,ROW('Usage Detail'!$A$5:$A$204)/(('Usage Detail'!$B$5:$B$204="Gift")),ROW(A141))),"")</f>
        <v/>
      </c>
    </row>
    <row r="149">
      <c r="A149" s="3">
        <f>IFERROR(INDEX('Usage Detail'!$A:$A,AGGREGATE(15,6,ROW('Usage Detail'!$A$5:$A$204)/(('Usage Detail'!$B$5:$B$204="Gift")),ROW(A142))),"")</f>
        <v/>
      </c>
      <c r="B149" s="3">
        <f>IFERROR(INDEX('Usage Detail'!$B:$B,AGGREGATE(15,6,ROW('Usage Detail'!$A$5:$A$204)/(('Usage Detail'!$B$5:$B$204="Gift")),ROW(A142))),"")</f>
        <v/>
      </c>
      <c r="C149" s="3">
        <f>IFERROR(INDEX('Usage Detail'!$C:$C,AGGREGATE(15,6,ROW('Usage Detail'!$A$5:$A$204)/(('Usage Detail'!$B$5:$B$204="Gift")),ROW(A142))),"")</f>
        <v/>
      </c>
      <c r="D149" s="3">
        <f>IFERROR(INDEX('Usage Detail'!$D:$D,AGGREGATE(15,6,ROW('Usage Detail'!$A$5:$A$204)/(('Usage Detail'!$B$5:$B$204="Gift")),ROW(A142))),"")</f>
        <v/>
      </c>
      <c r="E149" s="4">
        <f>IFERROR(INDEX('Usage Detail'!$E:$E,AGGREGATE(15,6,ROW('Usage Detail'!$A$5:$A$204)/(('Usage Detail'!$B$5:$B$204="Gift")),ROW(A142))),"")</f>
        <v/>
      </c>
      <c r="F149" s="4">
        <f>IFERROR(INDEX('Usage Detail'!$F:$F,AGGREGATE(15,6,ROW('Usage Detail'!$A$5:$A$204)/(('Usage Detail'!$B$5:$B$204="Gift")),ROW(A142))),"")</f>
        <v/>
      </c>
      <c r="G149" s="4">
        <f>IFERROR(INDEX('Usage Detail'!$G:$G,AGGREGATE(15,6,ROW('Usage Detail'!$A$5:$A$204)/(('Usage Detail'!$B$5:$B$204="Gift")),ROW(A142))),"")</f>
        <v/>
      </c>
      <c r="H149" s="4">
        <f>IFERROR(INDEX('Usage Detail'!$H:$H,AGGREGATE(15,6,ROW('Usage Detail'!$A$5:$A$204)/(('Usage Detail'!$B$5:$B$204="Gift")),ROW(A142))),"")</f>
        <v/>
      </c>
    </row>
    <row r="150">
      <c r="A150" s="3">
        <f>IFERROR(INDEX('Usage Detail'!$A:$A,AGGREGATE(15,6,ROW('Usage Detail'!$A$5:$A$204)/(('Usage Detail'!$B$5:$B$204="Gift")),ROW(A143))),"")</f>
        <v/>
      </c>
      <c r="B150" s="3">
        <f>IFERROR(INDEX('Usage Detail'!$B:$B,AGGREGATE(15,6,ROW('Usage Detail'!$A$5:$A$204)/(('Usage Detail'!$B$5:$B$204="Gift")),ROW(A143))),"")</f>
        <v/>
      </c>
      <c r="C150" s="3">
        <f>IFERROR(INDEX('Usage Detail'!$C:$C,AGGREGATE(15,6,ROW('Usage Detail'!$A$5:$A$204)/(('Usage Detail'!$B$5:$B$204="Gift")),ROW(A143))),"")</f>
        <v/>
      </c>
      <c r="D150" s="3">
        <f>IFERROR(INDEX('Usage Detail'!$D:$D,AGGREGATE(15,6,ROW('Usage Detail'!$A$5:$A$204)/(('Usage Detail'!$B$5:$B$204="Gift")),ROW(A143))),"")</f>
        <v/>
      </c>
      <c r="E150" s="4">
        <f>IFERROR(INDEX('Usage Detail'!$E:$E,AGGREGATE(15,6,ROW('Usage Detail'!$A$5:$A$204)/(('Usage Detail'!$B$5:$B$204="Gift")),ROW(A143))),"")</f>
        <v/>
      </c>
      <c r="F150" s="4">
        <f>IFERROR(INDEX('Usage Detail'!$F:$F,AGGREGATE(15,6,ROW('Usage Detail'!$A$5:$A$204)/(('Usage Detail'!$B$5:$B$204="Gift")),ROW(A143))),"")</f>
        <v/>
      </c>
      <c r="G150" s="4">
        <f>IFERROR(INDEX('Usage Detail'!$G:$G,AGGREGATE(15,6,ROW('Usage Detail'!$A$5:$A$204)/(('Usage Detail'!$B$5:$B$204="Gift")),ROW(A143))),"")</f>
        <v/>
      </c>
      <c r="H150" s="4">
        <f>IFERROR(INDEX('Usage Detail'!$H:$H,AGGREGATE(15,6,ROW('Usage Detail'!$A$5:$A$204)/(('Usage Detail'!$B$5:$B$204="Gift")),ROW(A143))),"")</f>
        <v/>
      </c>
    </row>
    <row r="151">
      <c r="A151" s="3">
        <f>IFERROR(INDEX('Usage Detail'!$A:$A,AGGREGATE(15,6,ROW('Usage Detail'!$A$5:$A$204)/(('Usage Detail'!$B$5:$B$204="Gift")),ROW(A144))),"")</f>
        <v/>
      </c>
      <c r="B151" s="3">
        <f>IFERROR(INDEX('Usage Detail'!$B:$B,AGGREGATE(15,6,ROW('Usage Detail'!$A$5:$A$204)/(('Usage Detail'!$B$5:$B$204="Gift")),ROW(A144))),"")</f>
        <v/>
      </c>
      <c r="C151" s="3">
        <f>IFERROR(INDEX('Usage Detail'!$C:$C,AGGREGATE(15,6,ROW('Usage Detail'!$A$5:$A$204)/(('Usage Detail'!$B$5:$B$204="Gift")),ROW(A144))),"")</f>
        <v/>
      </c>
      <c r="D151" s="3">
        <f>IFERROR(INDEX('Usage Detail'!$D:$D,AGGREGATE(15,6,ROW('Usage Detail'!$A$5:$A$204)/(('Usage Detail'!$B$5:$B$204="Gift")),ROW(A144))),"")</f>
        <v/>
      </c>
      <c r="E151" s="4">
        <f>IFERROR(INDEX('Usage Detail'!$E:$E,AGGREGATE(15,6,ROW('Usage Detail'!$A$5:$A$204)/(('Usage Detail'!$B$5:$B$204="Gift")),ROW(A144))),"")</f>
        <v/>
      </c>
      <c r="F151" s="4">
        <f>IFERROR(INDEX('Usage Detail'!$F:$F,AGGREGATE(15,6,ROW('Usage Detail'!$A$5:$A$204)/(('Usage Detail'!$B$5:$B$204="Gift")),ROW(A144))),"")</f>
        <v/>
      </c>
      <c r="G151" s="4">
        <f>IFERROR(INDEX('Usage Detail'!$G:$G,AGGREGATE(15,6,ROW('Usage Detail'!$A$5:$A$204)/(('Usage Detail'!$B$5:$B$204="Gift")),ROW(A144))),"")</f>
        <v/>
      </c>
      <c r="H151" s="4">
        <f>IFERROR(INDEX('Usage Detail'!$H:$H,AGGREGATE(15,6,ROW('Usage Detail'!$A$5:$A$204)/(('Usage Detail'!$B$5:$B$204="Gift")),ROW(A144))),"")</f>
        <v/>
      </c>
    </row>
    <row r="152">
      <c r="A152" s="3">
        <f>IFERROR(INDEX('Usage Detail'!$A:$A,AGGREGATE(15,6,ROW('Usage Detail'!$A$5:$A$204)/(('Usage Detail'!$B$5:$B$204="Gift")),ROW(A145))),"")</f>
        <v/>
      </c>
      <c r="B152" s="3">
        <f>IFERROR(INDEX('Usage Detail'!$B:$B,AGGREGATE(15,6,ROW('Usage Detail'!$A$5:$A$204)/(('Usage Detail'!$B$5:$B$204="Gift")),ROW(A145))),"")</f>
        <v/>
      </c>
      <c r="C152" s="3">
        <f>IFERROR(INDEX('Usage Detail'!$C:$C,AGGREGATE(15,6,ROW('Usage Detail'!$A$5:$A$204)/(('Usage Detail'!$B$5:$B$204="Gift")),ROW(A145))),"")</f>
        <v/>
      </c>
      <c r="D152" s="3">
        <f>IFERROR(INDEX('Usage Detail'!$D:$D,AGGREGATE(15,6,ROW('Usage Detail'!$A$5:$A$204)/(('Usage Detail'!$B$5:$B$204="Gift")),ROW(A145))),"")</f>
        <v/>
      </c>
      <c r="E152" s="4">
        <f>IFERROR(INDEX('Usage Detail'!$E:$E,AGGREGATE(15,6,ROW('Usage Detail'!$A$5:$A$204)/(('Usage Detail'!$B$5:$B$204="Gift")),ROW(A145))),"")</f>
        <v/>
      </c>
      <c r="F152" s="4">
        <f>IFERROR(INDEX('Usage Detail'!$F:$F,AGGREGATE(15,6,ROW('Usage Detail'!$A$5:$A$204)/(('Usage Detail'!$B$5:$B$204="Gift")),ROW(A145))),"")</f>
        <v/>
      </c>
      <c r="G152" s="4">
        <f>IFERROR(INDEX('Usage Detail'!$G:$G,AGGREGATE(15,6,ROW('Usage Detail'!$A$5:$A$204)/(('Usage Detail'!$B$5:$B$204="Gift")),ROW(A145))),"")</f>
        <v/>
      </c>
      <c r="H152" s="4">
        <f>IFERROR(INDEX('Usage Detail'!$H:$H,AGGREGATE(15,6,ROW('Usage Detail'!$A$5:$A$204)/(('Usage Detail'!$B$5:$B$204="Gift")),ROW(A145))),"")</f>
        <v/>
      </c>
    </row>
    <row r="153">
      <c r="A153" s="3">
        <f>IFERROR(INDEX('Usage Detail'!$A:$A,AGGREGATE(15,6,ROW('Usage Detail'!$A$5:$A$204)/(('Usage Detail'!$B$5:$B$204="Gift")),ROW(A146))),"")</f>
        <v/>
      </c>
      <c r="B153" s="3">
        <f>IFERROR(INDEX('Usage Detail'!$B:$B,AGGREGATE(15,6,ROW('Usage Detail'!$A$5:$A$204)/(('Usage Detail'!$B$5:$B$204="Gift")),ROW(A146))),"")</f>
        <v/>
      </c>
      <c r="C153" s="3">
        <f>IFERROR(INDEX('Usage Detail'!$C:$C,AGGREGATE(15,6,ROW('Usage Detail'!$A$5:$A$204)/(('Usage Detail'!$B$5:$B$204="Gift")),ROW(A146))),"")</f>
        <v/>
      </c>
      <c r="D153" s="3">
        <f>IFERROR(INDEX('Usage Detail'!$D:$D,AGGREGATE(15,6,ROW('Usage Detail'!$A$5:$A$204)/(('Usage Detail'!$B$5:$B$204="Gift")),ROW(A146))),"")</f>
        <v/>
      </c>
      <c r="E153" s="4">
        <f>IFERROR(INDEX('Usage Detail'!$E:$E,AGGREGATE(15,6,ROW('Usage Detail'!$A$5:$A$204)/(('Usage Detail'!$B$5:$B$204="Gift")),ROW(A146))),"")</f>
        <v/>
      </c>
      <c r="F153" s="4">
        <f>IFERROR(INDEX('Usage Detail'!$F:$F,AGGREGATE(15,6,ROW('Usage Detail'!$A$5:$A$204)/(('Usage Detail'!$B$5:$B$204="Gift")),ROW(A146))),"")</f>
        <v/>
      </c>
      <c r="G153" s="4">
        <f>IFERROR(INDEX('Usage Detail'!$G:$G,AGGREGATE(15,6,ROW('Usage Detail'!$A$5:$A$204)/(('Usage Detail'!$B$5:$B$204="Gift")),ROW(A146))),"")</f>
        <v/>
      </c>
      <c r="H153" s="4">
        <f>IFERROR(INDEX('Usage Detail'!$H:$H,AGGREGATE(15,6,ROW('Usage Detail'!$A$5:$A$204)/(('Usage Detail'!$B$5:$B$204="Gift")),ROW(A146))),"")</f>
        <v/>
      </c>
    </row>
    <row r="154">
      <c r="A154" s="3">
        <f>IFERROR(INDEX('Usage Detail'!$A:$A,AGGREGATE(15,6,ROW('Usage Detail'!$A$5:$A$204)/(('Usage Detail'!$B$5:$B$204="Gift")),ROW(A147))),"")</f>
        <v/>
      </c>
      <c r="B154" s="3">
        <f>IFERROR(INDEX('Usage Detail'!$B:$B,AGGREGATE(15,6,ROW('Usage Detail'!$A$5:$A$204)/(('Usage Detail'!$B$5:$B$204="Gift")),ROW(A147))),"")</f>
        <v/>
      </c>
      <c r="C154" s="3">
        <f>IFERROR(INDEX('Usage Detail'!$C:$C,AGGREGATE(15,6,ROW('Usage Detail'!$A$5:$A$204)/(('Usage Detail'!$B$5:$B$204="Gift")),ROW(A147))),"")</f>
        <v/>
      </c>
      <c r="D154" s="3">
        <f>IFERROR(INDEX('Usage Detail'!$D:$D,AGGREGATE(15,6,ROW('Usage Detail'!$A$5:$A$204)/(('Usage Detail'!$B$5:$B$204="Gift")),ROW(A147))),"")</f>
        <v/>
      </c>
      <c r="E154" s="4">
        <f>IFERROR(INDEX('Usage Detail'!$E:$E,AGGREGATE(15,6,ROW('Usage Detail'!$A$5:$A$204)/(('Usage Detail'!$B$5:$B$204="Gift")),ROW(A147))),"")</f>
        <v/>
      </c>
      <c r="F154" s="4">
        <f>IFERROR(INDEX('Usage Detail'!$F:$F,AGGREGATE(15,6,ROW('Usage Detail'!$A$5:$A$204)/(('Usage Detail'!$B$5:$B$204="Gift")),ROW(A147))),"")</f>
        <v/>
      </c>
      <c r="G154" s="4">
        <f>IFERROR(INDEX('Usage Detail'!$G:$G,AGGREGATE(15,6,ROW('Usage Detail'!$A$5:$A$204)/(('Usage Detail'!$B$5:$B$204="Gift")),ROW(A147))),"")</f>
        <v/>
      </c>
      <c r="H154" s="4">
        <f>IFERROR(INDEX('Usage Detail'!$H:$H,AGGREGATE(15,6,ROW('Usage Detail'!$A$5:$A$204)/(('Usage Detail'!$B$5:$B$204="Gift")),ROW(A147))),"")</f>
        <v/>
      </c>
    </row>
    <row r="155">
      <c r="A155" s="3">
        <f>IFERROR(INDEX('Usage Detail'!$A:$A,AGGREGATE(15,6,ROW('Usage Detail'!$A$5:$A$204)/(('Usage Detail'!$B$5:$B$204="Gift")),ROW(A148))),"")</f>
        <v/>
      </c>
      <c r="B155" s="3">
        <f>IFERROR(INDEX('Usage Detail'!$B:$B,AGGREGATE(15,6,ROW('Usage Detail'!$A$5:$A$204)/(('Usage Detail'!$B$5:$B$204="Gift")),ROW(A148))),"")</f>
        <v/>
      </c>
      <c r="C155" s="3">
        <f>IFERROR(INDEX('Usage Detail'!$C:$C,AGGREGATE(15,6,ROW('Usage Detail'!$A$5:$A$204)/(('Usage Detail'!$B$5:$B$204="Gift")),ROW(A148))),"")</f>
        <v/>
      </c>
      <c r="D155" s="3">
        <f>IFERROR(INDEX('Usage Detail'!$D:$D,AGGREGATE(15,6,ROW('Usage Detail'!$A$5:$A$204)/(('Usage Detail'!$B$5:$B$204="Gift")),ROW(A148))),"")</f>
        <v/>
      </c>
      <c r="E155" s="4">
        <f>IFERROR(INDEX('Usage Detail'!$E:$E,AGGREGATE(15,6,ROW('Usage Detail'!$A$5:$A$204)/(('Usage Detail'!$B$5:$B$204="Gift")),ROW(A148))),"")</f>
        <v/>
      </c>
      <c r="F155" s="4">
        <f>IFERROR(INDEX('Usage Detail'!$F:$F,AGGREGATE(15,6,ROW('Usage Detail'!$A$5:$A$204)/(('Usage Detail'!$B$5:$B$204="Gift")),ROW(A148))),"")</f>
        <v/>
      </c>
      <c r="G155" s="4">
        <f>IFERROR(INDEX('Usage Detail'!$G:$G,AGGREGATE(15,6,ROW('Usage Detail'!$A$5:$A$204)/(('Usage Detail'!$B$5:$B$204="Gift")),ROW(A148))),"")</f>
        <v/>
      </c>
      <c r="H155" s="4">
        <f>IFERROR(INDEX('Usage Detail'!$H:$H,AGGREGATE(15,6,ROW('Usage Detail'!$A$5:$A$204)/(('Usage Detail'!$B$5:$B$204="Gift")),ROW(A148))),"")</f>
        <v/>
      </c>
    </row>
    <row r="156">
      <c r="A156" s="3">
        <f>IFERROR(INDEX('Usage Detail'!$A:$A,AGGREGATE(15,6,ROW('Usage Detail'!$A$5:$A$204)/(('Usage Detail'!$B$5:$B$204="Gift")),ROW(A149))),"")</f>
        <v/>
      </c>
      <c r="B156" s="3">
        <f>IFERROR(INDEX('Usage Detail'!$B:$B,AGGREGATE(15,6,ROW('Usage Detail'!$A$5:$A$204)/(('Usage Detail'!$B$5:$B$204="Gift")),ROW(A149))),"")</f>
        <v/>
      </c>
      <c r="C156" s="3">
        <f>IFERROR(INDEX('Usage Detail'!$C:$C,AGGREGATE(15,6,ROW('Usage Detail'!$A$5:$A$204)/(('Usage Detail'!$B$5:$B$204="Gift")),ROW(A149))),"")</f>
        <v/>
      </c>
      <c r="D156" s="3">
        <f>IFERROR(INDEX('Usage Detail'!$D:$D,AGGREGATE(15,6,ROW('Usage Detail'!$A$5:$A$204)/(('Usage Detail'!$B$5:$B$204="Gift")),ROW(A149))),"")</f>
        <v/>
      </c>
      <c r="E156" s="4">
        <f>IFERROR(INDEX('Usage Detail'!$E:$E,AGGREGATE(15,6,ROW('Usage Detail'!$A$5:$A$204)/(('Usage Detail'!$B$5:$B$204="Gift")),ROW(A149))),"")</f>
        <v/>
      </c>
      <c r="F156" s="4">
        <f>IFERROR(INDEX('Usage Detail'!$F:$F,AGGREGATE(15,6,ROW('Usage Detail'!$A$5:$A$204)/(('Usage Detail'!$B$5:$B$204="Gift")),ROW(A149))),"")</f>
        <v/>
      </c>
      <c r="G156" s="4">
        <f>IFERROR(INDEX('Usage Detail'!$G:$G,AGGREGATE(15,6,ROW('Usage Detail'!$A$5:$A$204)/(('Usage Detail'!$B$5:$B$204="Gift")),ROW(A149))),"")</f>
        <v/>
      </c>
      <c r="H156" s="4">
        <f>IFERROR(INDEX('Usage Detail'!$H:$H,AGGREGATE(15,6,ROW('Usage Detail'!$A$5:$A$204)/(('Usage Detail'!$B$5:$B$204="Gift")),ROW(A149))),"")</f>
        <v/>
      </c>
    </row>
    <row r="157">
      <c r="A157" s="3">
        <f>IFERROR(INDEX('Usage Detail'!$A:$A,AGGREGATE(15,6,ROW('Usage Detail'!$A$5:$A$204)/(('Usage Detail'!$B$5:$B$204="Gift")),ROW(A150))),"")</f>
        <v/>
      </c>
      <c r="B157" s="3">
        <f>IFERROR(INDEX('Usage Detail'!$B:$B,AGGREGATE(15,6,ROW('Usage Detail'!$A$5:$A$204)/(('Usage Detail'!$B$5:$B$204="Gift")),ROW(A150))),"")</f>
        <v/>
      </c>
      <c r="C157" s="3">
        <f>IFERROR(INDEX('Usage Detail'!$C:$C,AGGREGATE(15,6,ROW('Usage Detail'!$A$5:$A$204)/(('Usage Detail'!$B$5:$B$204="Gift")),ROW(A150))),"")</f>
        <v/>
      </c>
      <c r="D157" s="3">
        <f>IFERROR(INDEX('Usage Detail'!$D:$D,AGGREGATE(15,6,ROW('Usage Detail'!$A$5:$A$204)/(('Usage Detail'!$B$5:$B$204="Gift")),ROW(A150))),"")</f>
        <v/>
      </c>
      <c r="E157" s="4">
        <f>IFERROR(INDEX('Usage Detail'!$E:$E,AGGREGATE(15,6,ROW('Usage Detail'!$A$5:$A$204)/(('Usage Detail'!$B$5:$B$204="Gift")),ROW(A150))),"")</f>
        <v/>
      </c>
      <c r="F157" s="4">
        <f>IFERROR(INDEX('Usage Detail'!$F:$F,AGGREGATE(15,6,ROW('Usage Detail'!$A$5:$A$204)/(('Usage Detail'!$B$5:$B$204="Gift")),ROW(A150))),"")</f>
        <v/>
      </c>
      <c r="G157" s="4">
        <f>IFERROR(INDEX('Usage Detail'!$G:$G,AGGREGATE(15,6,ROW('Usage Detail'!$A$5:$A$204)/(('Usage Detail'!$B$5:$B$204="Gift")),ROW(A150))),"")</f>
        <v/>
      </c>
      <c r="H157" s="4">
        <f>IFERROR(INDEX('Usage Detail'!$H:$H,AGGREGATE(15,6,ROW('Usage Detail'!$A$5:$A$204)/(('Usage Detail'!$B$5:$B$204="Gift")),ROW(A150))),"")</f>
        <v/>
      </c>
    </row>
    <row r="158">
      <c r="A158" s="3">
        <f>IFERROR(INDEX('Usage Detail'!$A:$A,AGGREGATE(15,6,ROW('Usage Detail'!$A$5:$A$204)/(('Usage Detail'!$B$5:$B$204="Gift")),ROW(A151))),"")</f>
        <v/>
      </c>
      <c r="B158" s="3">
        <f>IFERROR(INDEX('Usage Detail'!$B:$B,AGGREGATE(15,6,ROW('Usage Detail'!$A$5:$A$204)/(('Usage Detail'!$B$5:$B$204="Gift")),ROW(A151))),"")</f>
        <v/>
      </c>
      <c r="C158" s="3">
        <f>IFERROR(INDEX('Usage Detail'!$C:$C,AGGREGATE(15,6,ROW('Usage Detail'!$A$5:$A$204)/(('Usage Detail'!$B$5:$B$204="Gift")),ROW(A151))),"")</f>
        <v/>
      </c>
      <c r="D158" s="3">
        <f>IFERROR(INDEX('Usage Detail'!$D:$D,AGGREGATE(15,6,ROW('Usage Detail'!$A$5:$A$204)/(('Usage Detail'!$B$5:$B$204="Gift")),ROW(A151))),"")</f>
        <v/>
      </c>
      <c r="E158" s="4">
        <f>IFERROR(INDEX('Usage Detail'!$E:$E,AGGREGATE(15,6,ROW('Usage Detail'!$A$5:$A$204)/(('Usage Detail'!$B$5:$B$204="Gift")),ROW(A151))),"")</f>
        <v/>
      </c>
      <c r="F158" s="4">
        <f>IFERROR(INDEX('Usage Detail'!$F:$F,AGGREGATE(15,6,ROW('Usage Detail'!$A$5:$A$204)/(('Usage Detail'!$B$5:$B$204="Gift")),ROW(A151))),"")</f>
        <v/>
      </c>
      <c r="G158" s="4">
        <f>IFERROR(INDEX('Usage Detail'!$G:$G,AGGREGATE(15,6,ROW('Usage Detail'!$A$5:$A$204)/(('Usage Detail'!$B$5:$B$204="Gift")),ROW(A151))),"")</f>
        <v/>
      </c>
      <c r="H158" s="4">
        <f>IFERROR(INDEX('Usage Detail'!$H:$H,AGGREGATE(15,6,ROW('Usage Detail'!$A$5:$A$204)/(('Usage Detail'!$B$5:$B$204="Gift")),ROW(A151))),"")</f>
        <v/>
      </c>
    </row>
    <row r="159">
      <c r="A159" s="3">
        <f>IFERROR(INDEX('Usage Detail'!$A:$A,AGGREGATE(15,6,ROW('Usage Detail'!$A$5:$A$204)/(('Usage Detail'!$B$5:$B$204="Gift")),ROW(A152))),"")</f>
        <v/>
      </c>
      <c r="B159" s="3">
        <f>IFERROR(INDEX('Usage Detail'!$B:$B,AGGREGATE(15,6,ROW('Usage Detail'!$A$5:$A$204)/(('Usage Detail'!$B$5:$B$204="Gift")),ROW(A152))),"")</f>
        <v/>
      </c>
      <c r="C159" s="3">
        <f>IFERROR(INDEX('Usage Detail'!$C:$C,AGGREGATE(15,6,ROW('Usage Detail'!$A$5:$A$204)/(('Usage Detail'!$B$5:$B$204="Gift")),ROW(A152))),"")</f>
        <v/>
      </c>
      <c r="D159" s="3">
        <f>IFERROR(INDEX('Usage Detail'!$D:$D,AGGREGATE(15,6,ROW('Usage Detail'!$A$5:$A$204)/(('Usage Detail'!$B$5:$B$204="Gift")),ROW(A152))),"")</f>
        <v/>
      </c>
      <c r="E159" s="4">
        <f>IFERROR(INDEX('Usage Detail'!$E:$E,AGGREGATE(15,6,ROW('Usage Detail'!$A$5:$A$204)/(('Usage Detail'!$B$5:$B$204="Gift")),ROW(A152))),"")</f>
        <v/>
      </c>
      <c r="F159" s="4">
        <f>IFERROR(INDEX('Usage Detail'!$F:$F,AGGREGATE(15,6,ROW('Usage Detail'!$A$5:$A$204)/(('Usage Detail'!$B$5:$B$204="Gift")),ROW(A152))),"")</f>
        <v/>
      </c>
      <c r="G159" s="4">
        <f>IFERROR(INDEX('Usage Detail'!$G:$G,AGGREGATE(15,6,ROW('Usage Detail'!$A$5:$A$204)/(('Usage Detail'!$B$5:$B$204="Gift")),ROW(A152))),"")</f>
        <v/>
      </c>
      <c r="H159" s="4">
        <f>IFERROR(INDEX('Usage Detail'!$H:$H,AGGREGATE(15,6,ROW('Usage Detail'!$A$5:$A$204)/(('Usage Detail'!$B$5:$B$204="Gift")),ROW(A152))),"")</f>
        <v/>
      </c>
    </row>
    <row r="160">
      <c r="A160" s="3">
        <f>IFERROR(INDEX('Usage Detail'!$A:$A,AGGREGATE(15,6,ROW('Usage Detail'!$A$5:$A$204)/(('Usage Detail'!$B$5:$B$204="Gift")),ROW(A153))),"")</f>
        <v/>
      </c>
      <c r="B160" s="3">
        <f>IFERROR(INDEX('Usage Detail'!$B:$B,AGGREGATE(15,6,ROW('Usage Detail'!$A$5:$A$204)/(('Usage Detail'!$B$5:$B$204="Gift")),ROW(A153))),"")</f>
        <v/>
      </c>
      <c r="C160" s="3">
        <f>IFERROR(INDEX('Usage Detail'!$C:$C,AGGREGATE(15,6,ROW('Usage Detail'!$A$5:$A$204)/(('Usage Detail'!$B$5:$B$204="Gift")),ROW(A153))),"")</f>
        <v/>
      </c>
      <c r="D160" s="3">
        <f>IFERROR(INDEX('Usage Detail'!$D:$D,AGGREGATE(15,6,ROW('Usage Detail'!$A$5:$A$204)/(('Usage Detail'!$B$5:$B$204="Gift")),ROW(A153))),"")</f>
        <v/>
      </c>
      <c r="E160" s="4">
        <f>IFERROR(INDEX('Usage Detail'!$E:$E,AGGREGATE(15,6,ROW('Usage Detail'!$A$5:$A$204)/(('Usage Detail'!$B$5:$B$204="Gift")),ROW(A153))),"")</f>
        <v/>
      </c>
      <c r="F160" s="4">
        <f>IFERROR(INDEX('Usage Detail'!$F:$F,AGGREGATE(15,6,ROW('Usage Detail'!$A$5:$A$204)/(('Usage Detail'!$B$5:$B$204="Gift")),ROW(A153))),"")</f>
        <v/>
      </c>
      <c r="G160" s="4">
        <f>IFERROR(INDEX('Usage Detail'!$G:$G,AGGREGATE(15,6,ROW('Usage Detail'!$A$5:$A$204)/(('Usage Detail'!$B$5:$B$204="Gift")),ROW(A153))),"")</f>
        <v/>
      </c>
      <c r="H160" s="4">
        <f>IFERROR(INDEX('Usage Detail'!$H:$H,AGGREGATE(15,6,ROW('Usage Detail'!$A$5:$A$204)/(('Usage Detail'!$B$5:$B$204="Gift")),ROW(A153))),"")</f>
        <v/>
      </c>
    </row>
    <row r="161">
      <c r="A161" s="3">
        <f>IFERROR(INDEX('Usage Detail'!$A:$A,AGGREGATE(15,6,ROW('Usage Detail'!$A$5:$A$204)/(('Usage Detail'!$B$5:$B$204="Gift")),ROW(A154))),"")</f>
        <v/>
      </c>
      <c r="B161" s="3">
        <f>IFERROR(INDEX('Usage Detail'!$B:$B,AGGREGATE(15,6,ROW('Usage Detail'!$A$5:$A$204)/(('Usage Detail'!$B$5:$B$204="Gift")),ROW(A154))),"")</f>
        <v/>
      </c>
      <c r="C161" s="3">
        <f>IFERROR(INDEX('Usage Detail'!$C:$C,AGGREGATE(15,6,ROW('Usage Detail'!$A$5:$A$204)/(('Usage Detail'!$B$5:$B$204="Gift")),ROW(A154))),"")</f>
        <v/>
      </c>
      <c r="D161" s="3">
        <f>IFERROR(INDEX('Usage Detail'!$D:$D,AGGREGATE(15,6,ROW('Usage Detail'!$A$5:$A$204)/(('Usage Detail'!$B$5:$B$204="Gift")),ROW(A154))),"")</f>
        <v/>
      </c>
      <c r="E161" s="4">
        <f>IFERROR(INDEX('Usage Detail'!$E:$E,AGGREGATE(15,6,ROW('Usage Detail'!$A$5:$A$204)/(('Usage Detail'!$B$5:$B$204="Gift")),ROW(A154))),"")</f>
        <v/>
      </c>
      <c r="F161" s="4">
        <f>IFERROR(INDEX('Usage Detail'!$F:$F,AGGREGATE(15,6,ROW('Usage Detail'!$A$5:$A$204)/(('Usage Detail'!$B$5:$B$204="Gift")),ROW(A154))),"")</f>
        <v/>
      </c>
      <c r="G161" s="4">
        <f>IFERROR(INDEX('Usage Detail'!$G:$G,AGGREGATE(15,6,ROW('Usage Detail'!$A$5:$A$204)/(('Usage Detail'!$B$5:$B$204="Gift")),ROW(A154))),"")</f>
        <v/>
      </c>
      <c r="H161" s="4">
        <f>IFERROR(INDEX('Usage Detail'!$H:$H,AGGREGATE(15,6,ROW('Usage Detail'!$A$5:$A$204)/(('Usage Detail'!$B$5:$B$204="Gift")),ROW(A154))),"")</f>
        <v/>
      </c>
    </row>
    <row r="162">
      <c r="A162" s="3">
        <f>IFERROR(INDEX('Usage Detail'!$A:$A,AGGREGATE(15,6,ROW('Usage Detail'!$A$5:$A$204)/(('Usage Detail'!$B$5:$B$204="Gift")),ROW(A155))),"")</f>
        <v/>
      </c>
      <c r="B162" s="3">
        <f>IFERROR(INDEX('Usage Detail'!$B:$B,AGGREGATE(15,6,ROW('Usage Detail'!$A$5:$A$204)/(('Usage Detail'!$B$5:$B$204="Gift")),ROW(A155))),"")</f>
        <v/>
      </c>
      <c r="C162" s="3">
        <f>IFERROR(INDEX('Usage Detail'!$C:$C,AGGREGATE(15,6,ROW('Usage Detail'!$A$5:$A$204)/(('Usage Detail'!$B$5:$B$204="Gift")),ROW(A155))),"")</f>
        <v/>
      </c>
      <c r="D162" s="3">
        <f>IFERROR(INDEX('Usage Detail'!$D:$D,AGGREGATE(15,6,ROW('Usage Detail'!$A$5:$A$204)/(('Usage Detail'!$B$5:$B$204="Gift")),ROW(A155))),"")</f>
        <v/>
      </c>
      <c r="E162" s="4">
        <f>IFERROR(INDEX('Usage Detail'!$E:$E,AGGREGATE(15,6,ROW('Usage Detail'!$A$5:$A$204)/(('Usage Detail'!$B$5:$B$204="Gift")),ROW(A155))),"")</f>
        <v/>
      </c>
      <c r="F162" s="4">
        <f>IFERROR(INDEX('Usage Detail'!$F:$F,AGGREGATE(15,6,ROW('Usage Detail'!$A$5:$A$204)/(('Usage Detail'!$B$5:$B$204="Gift")),ROW(A155))),"")</f>
        <v/>
      </c>
      <c r="G162" s="4">
        <f>IFERROR(INDEX('Usage Detail'!$G:$G,AGGREGATE(15,6,ROW('Usage Detail'!$A$5:$A$204)/(('Usage Detail'!$B$5:$B$204="Gift")),ROW(A155))),"")</f>
        <v/>
      </c>
      <c r="H162" s="4">
        <f>IFERROR(INDEX('Usage Detail'!$H:$H,AGGREGATE(15,6,ROW('Usage Detail'!$A$5:$A$204)/(('Usage Detail'!$B$5:$B$204="Gift")),ROW(A155))),"")</f>
        <v/>
      </c>
    </row>
    <row r="163">
      <c r="A163" s="3">
        <f>IFERROR(INDEX('Usage Detail'!$A:$A,AGGREGATE(15,6,ROW('Usage Detail'!$A$5:$A$204)/(('Usage Detail'!$B$5:$B$204="Gift")),ROW(A156))),"")</f>
        <v/>
      </c>
      <c r="B163" s="3">
        <f>IFERROR(INDEX('Usage Detail'!$B:$B,AGGREGATE(15,6,ROW('Usage Detail'!$A$5:$A$204)/(('Usage Detail'!$B$5:$B$204="Gift")),ROW(A156))),"")</f>
        <v/>
      </c>
      <c r="C163" s="3">
        <f>IFERROR(INDEX('Usage Detail'!$C:$C,AGGREGATE(15,6,ROW('Usage Detail'!$A$5:$A$204)/(('Usage Detail'!$B$5:$B$204="Gift")),ROW(A156))),"")</f>
        <v/>
      </c>
      <c r="D163" s="3">
        <f>IFERROR(INDEX('Usage Detail'!$D:$D,AGGREGATE(15,6,ROW('Usage Detail'!$A$5:$A$204)/(('Usage Detail'!$B$5:$B$204="Gift")),ROW(A156))),"")</f>
        <v/>
      </c>
      <c r="E163" s="4">
        <f>IFERROR(INDEX('Usage Detail'!$E:$E,AGGREGATE(15,6,ROW('Usage Detail'!$A$5:$A$204)/(('Usage Detail'!$B$5:$B$204="Gift")),ROW(A156))),"")</f>
        <v/>
      </c>
      <c r="F163" s="4">
        <f>IFERROR(INDEX('Usage Detail'!$F:$F,AGGREGATE(15,6,ROW('Usage Detail'!$A$5:$A$204)/(('Usage Detail'!$B$5:$B$204="Gift")),ROW(A156))),"")</f>
        <v/>
      </c>
      <c r="G163" s="4">
        <f>IFERROR(INDEX('Usage Detail'!$G:$G,AGGREGATE(15,6,ROW('Usage Detail'!$A$5:$A$204)/(('Usage Detail'!$B$5:$B$204="Gift")),ROW(A156))),"")</f>
        <v/>
      </c>
      <c r="H163" s="4">
        <f>IFERROR(INDEX('Usage Detail'!$H:$H,AGGREGATE(15,6,ROW('Usage Detail'!$A$5:$A$204)/(('Usage Detail'!$B$5:$B$204="Gift")),ROW(A156))),"")</f>
        <v/>
      </c>
    </row>
    <row r="164">
      <c r="A164" s="3">
        <f>IFERROR(INDEX('Usage Detail'!$A:$A,AGGREGATE(15,6,ROW('Usage Detail'!$A$5:$A$204)/(('Usage Detail'!$B$5:$B$204="Gift")),ROW(A157))),"")</f>
        <v/>
      </c>
      <c r="B164" s="3">
        <f>IFERROR(INDEX('Usage Detail'!$B:$B,AGGREGATE(15,6,ROW('Usage Detail'!$A$5:$A$204)/(('Usage Detail'!$B$5:$B$204="Gift")),ROW(A157))),"")</f>
        <v/>
      </c>
      <c r="C164" s="3">
        <f>IFERROR(INDEX('Usage Detail'!$C:$C,AGGREGATE(15,6,ROW('Usage Detail'!$A$5:$A$204)/(('Usage Detail'!$B$5:$B$204="Gift")),ROW(A157))),"")</f>
        <v/>
      </c>
      <c r="D164" s="3">
        <f>IFERROR(INDEX('Usage Detail'!$D:$D,AGGREGATE(15,6,ROW('Usage Detail'!$A$5:$A$204)/(('Usage Detail'!$B$5:$B$204="Gift")),ROW(A157))),"")</f>
        <v/>
      </c>
      <c r="E164" s="4">
        <f>IFERROR(INDEX('Usage Detail'!$E:$E,AGGREGATE(15,6,ROW('Usage Detail'!$A$5:$A$204)/(('Usage Detail'!$B$5:$B$204="Gift")),ROW(A157))),"")</f>
        <v/>
      </c>
      <c r="F164" s="4">
        <f>IFERROR(INDEX('Usage Detail'!$F:$F,AGGREGATE(15,6,ROW('Usage Detail'!$A$5:$A$204)/(('Usage Detail'!$B$5:$B$204="Gift")),ROW(A157))),"")</f>
        <v/>
      </c>
      <c r="G164" s="4">
        <f>IFERROR(INDEX('Usage Detail'!$G:$G,AGGREGATE(15,6,ROW('Usage Detail'!$A$5:$A$204)/(('Usage Detail'!$B$5:$B$204="Gift")),ROW(A157))),"")</f>
        <v/>
      </c>
      <c r="H164" s="4">
        <f>IFERROR(INDEX('Usage Detail'!$H:$H,AGGREGATE(15,6,ROW('Usage Detail'!$A$5:$A$204)/(('Usage Detail'!$B$5:$B$204="Gift")),ROW(A157))),"")</f>
        <v/>
      </c>
    </row>
    <row r="165">
      <c r="A165" s="3">
        <f>IFERROR(INDEX('Usage Detail'!$A:$A,AGGREGATE(15,6,ROW('Usage Detail'!$A$5:$A$204)/(('Usage Detail'!$B$5:$B$204="Gift")),ROW(A158))),"")</f>
        <v/>
      </c>
      <c r="B165" s="3">
        <f>IFERROR(INDEX('Usage Detail'!$B:$B,AGGREGATE(15,6,ROW('Usage Detail'!$A$5:$A$204)/(('Usage Detail'!$B$5:$B$204="Gift")),ROW(A158))),"")</f>
        <v/>
      </c>
      <c r="C165" s="3">
        <f>IFERROR(INDEX('Usage Detail'!$C:$C,AGGREGATE(15,6,ROW('Usage Detail'!$A$5:$A$204)/(('Usage Detail'!$B$5:$B$204="Gift")),ROW(A158))),"")</f>
        <v/>
      </c>
      <c r="D165" s="3">
        <f>IFERROR(INDEX('Usage Detail'!$D:$D,AGGREGATE(15,6,ROW('Usage Detail'!$A$5:$A$204)/(('Usage Detail'!$B$5:$B$204="Gift")),ROW(A158))),"")</f>
        <v/>
      </c>
      <c r="E165" s="4">
        <f>IFERROR(INDEX('Usage Detail'!$E:$E,AGGREGATE(15,6,ROW('Usage Detail'!$A$5:$A$204)/(('Usage Detail'!$B$5:$B$204="Gift")),ROW(A158))),"")</f>
        <v/>
      </c>
      <c r="F165" s="4">
        <f>IFERROR(INDEX('Usage Detail'!$F:$F,AGGREGATE(15,6,ROW('Usage Detail'!$A$5:$A$204)/(('Usage Detail'!$B$5:$B$204="Gift")),ROW(A158))),"")</f>
        <v/>
      </c>
      <c r="G165" s="4">
        <f>IFERROR(INDEX('Usage Detail'!$G:$G,AGGREGATE(15,6,ROW('Usage Detail'!$A$5:$A$204)/(('Usage Detail'!$B$5:$B$204="Gift")),ROW(A158))),"")</f>
        <v/>
      </c>
      <c r="H165" s="4">
        <f>IFERROR(INDEX('Usage Detail'!$H:$H,AGGREGATE(15,6,ROW('Usage Detail'!$A$5:$A$204)/(('Usage Detail'!$B$5:$B$204="Gift")),ROW(A158))),"")</f>
        <v/>
      </c>
    </row>
    <row r="166">
      <c r="A166" s="3">
        <f>IFERROR(INDEX('Usage Detail'!$A:$A,AGGREGATE(15,6,ROW('Usage Detail'!$A$5:$A$204)/(('Usage Detail'!$B$5:$B$204="Gift")),ROW(A159))),"")</f>
        <v/>
      </c>
      <c r="B166" s="3">
        <f>IFERROR(INDEX('Usage Detail'!$B:$B,AGGREGATE(15,6,ROW('Usage Detail'!$A$5:$A$204)/(('Usage Detail'!$B$5:$B$204="Gift")),ROW(A159))),"")</f>
        <v/>
      </c>
      <c r="C166" s="3">
        <f>IFERROR(INDEX('Usage Detail'!$C:$C,AGGREGATE(15,6,ROW('Usage Detail'!$A$5:$A$204)/(('Usage Detail'!$B$5:$B$204="Gift")),ROW(A159))),"")</f>
        <v/>
      </c>
      <c r="D166" s="3">
        <f>IFERROR(INDEX('Usage Detail'!$D:$D,AGGREGATE(15,6,ROW('Usage Detail'!$A$5:$A$204)/(('Usage Detail'!$B$5:$B$204="Gift")),ROW(A159))),"")</f>
        <v/>
      </c>
      <c r="E166" s="4">
        <f>IFERROR(INDEX('Usage Detail'!$E:$E,AGGREGATE(15,6,ROW('Usage Detail'!$A$5:$A$204)/(('Usage Detail'!$B$5:$B$204="Gift")),ROW(A159))),"")</f>
        <v/>
      </c>
      <c r="F166" s="4">
        <f>IFERROR(INDEX('Usage Detail'!$F:$F,AGGREGATE(15,6,ROW('Usage Detail'!$A$5:$A$204)/(('Usage Detail'!$B$5:$B$204="Gift")),ROW(A159))),"")</f>
        <v/>
      </c>
      <c r="G166" s="4">
        <f>IFERROR(INDEX('Usage Detail'!$G:$G,AGGREGATE(15,6,ROW('Usage Detail'!$A$5:$A$204)/(('Usage Detail'!$B$5:$B$204="Gift")),ROW(A159))),"")</f>
        <v/>
      </c>
      <c r="H166" s="4">
        <f>IFERROR(INDEX('Usage Detail'!$H:$H,AGGREGATE(15,6,ROW('Usage Detail'!$A$5:$A$204)/(('Usage Detail'!$B$5:$B$204="Gift")),ROW(A159))),"")</f>
        <v/>
      </c>
    </row>
    <row r="167">
      <c r="A167" s="3">
        <f>IFERROR(INDEX('Usage Detail'!$A:$A,AGGREGATE(15,6,ROW('Usage Detail'!$A$5:$A$204)/(('Usage Detail'!$B$5:$B$204="Gift")),ROW(A160))),"")</f>
        <v/>
      </c>
      <c r="B167" s="3">
        <f>IFERROR(INDEX('Usage Detail'!$B:$B,AGGREGATE(15,6,ROW('Usage Detail'!$A$5:$A$204)/(('Usage Detail'!$B$5:$B$204="Gift")),ROW(A160))),"")</f>
        <v/>
      </c>
      <c r="C167" s="3">
        <f>IFERROR(INDEX('Usage Detail'!$C:$C,AGGREGATE(15,6,ROW('Usage Detail'!$A$5:$A$204)/(('Usage Detail'!$B$5:$B$204="Gift")),ROW(A160))),"")</f>
        <v/>
      </c>
      <c r="D167" s="3">
        <f>IFERROR(INDEX('Usage Detail'!$D:$D,AGGREGATE(15,6,ROW('Usage Detail'!$A$5:$A$204)/(('Usage Detail'!$B$5:$B$204="Gift")),ROW(A160))),"")</f>
        <v/>
      </c>
      <c r="E167" s="4">
        <f>IFERROR(INDEX('Usage Detail'!$E:$E,AGGREGATE(15,6,ROW('Usage Detail'!$A$5:$A$204)/(('Usage Detail'!$B$5:$B$204="Gift")),ROW(A160))),"")</f>
        <v/>
      </c>
      <c r="F167" s="4">
        <f>IFERROR(INDEX('Usage Detail'!$F:$F,AGGREGATE(15,6,ROW('Usage Detail'!$A$5:$A$204)/(('Usage Detail'!$B$5:$B$204="Gift")),ROW(A160))),"")</f>
        <v/>
      </c>
      <c r="G167" s="4">
        <f>IFERROR(INDEX('Usage Detail'!$G:$G,AGGREGATE(15,6,ROW('Usage Detail'!$A$5:$A$204)/(('Usage Detail'!$B$5:$B$204="Gift")),ROW(A160))),"")</f>
        <v/>
      </c>
      <c r="H167" s="4">
        <f>IFERROR(INDEX('Usage Detail'!$H:$H,AGGREGATE(15,6,ROW('Usage Detail'!$A$5:$A$204)/(('Usage Detail'!$B$5:$B$204="Gift")),ROW(A160))),"")</f>
        <v/>
      </c>
    </row>
    <row r="168">
      <c r="A168" s="3">
        <f>IFERROR(INDEX('Usage Detail'!$A:$A,AGGREGATE(15,6,ROW('Usage Detail'!$A$5:$A$204)/(('Usage Detail'!$B$5:$B$204="Gift")),ROW(A161))),"")</f>
        <v/>
      </c>
      <c r="B168" s="3">
        <f>IFERROR(INDEX('Usage Detail'!$B:$B,AGGREGATE(15,6,ROW('Usage Detail'!$A$5:$A$204)/(('Usage Detail'!$B$5:$B$204="Gift")),ROW(A161))),"")</f>
        <v/>
      </c>
      <c r="C168" s="3">
        <f>IFERROR(INDEX('Usage Detail'!$C:$C,AGGREGATE(15,6,ROW('Usage Detail'!$A$5:$A$204)/(('Usage Detail'!$B$5:$B$204="Gift")),ROW(A161))),"")</f>
        <v/>
      </c>
      <c r="D168" s="3">
        <f>IFERROR(INDEX('Usage Detail'!$D:$D,AGGREGATE(15,6,ROW('Usage Detail'!$A$5:$A$204)/(('Usage Detail'!$B$5:$B$204="Gift")),ROW(A161))),"")</f>
        <v/>
      </c>
      <c r="E168" s="4">
        <f>IFERROR(INDEX('Usage Detail'!$E:$E,AGGREGATE(15,6,ROW('Usage Detail'!$A$5:$A$204)/(('Usage Detail'!$B$5:$B$204="Gift")),ROW(A161))),"")</f>
        <v/>
      </c>
      <c r="F168" s="4">
        <f>IFERROR(INDEX('Usage Detail'!$F:$F,AGGREGATE(15,6,ROW('Usage Detail'!$A$5:$A$204)/(('Usage Detail'!$B$5:$B$204="Gift")),ROW(A161))),"")</f>
        <v/>
      </c>
      <c r="G168" s="4">
        <f>IFERROR(INDEX('Usage Detail'!$G:$G,AGGREGATE(15,6,ROW('Usage Detail'!$A$5:$A$204)/(('Usage Detail'!$B$5:$B$204="Gift")),ROW(A161))),"")</f>
        <v/>
      </c>
      <c r="H168" s="4">
        <f>IFERROR(INDEX('Usage Detail'!$H:$H,AGGREGATE(15,6,ROW('Usage Detail'!$A$5:$A$204)/(('Usage Detail'!$B$5:$B$204="Gift")),ROW(A161))),"")</f>
        <v/>
      </c>
    </row>
    <row r="169">
      <c r="A169" s="3">
        <f>IFERROR(INDEX('Usage Detail'!$A:$A,AGGREGATE(15,6,ROW('Usage Detail'!$A$5:$A$204)/(('Usage Detail'!$B$5:$B$204="Gift")),ROW(A162))),"")</f>
        <v/>
      </c>
      <c r="B169" s="3">
        <f>IFERROR(INDEX('Usage Detail'!$B:$B,AGGREGATE(15,6,ROW('Usage Detail'!$A$5:$A$204)/(('Usage Detail'!$B$5:$B$204="Gift")),ROW(A162))),"")</f>
        <v/>
      </c>
      <c r="C169" s="3">
        <f>IFERROR(INDEX('Usage Detail'!$C:$C,AGGREGATE(15,6,ROW('Usage Detail'!$A$5:$A$204)/(('Usage Detail'!$B$5:$B$204="Gift")),ROW(A162))),"")</f>
        <v/>
      </c>
      <c r="D169" s="3">
        <f>IFERROR(INDEX('Usage Detail'!$D:$D,AGGREGATE(15,6,ROW('Usage Detail'!$A$5:$A$204)/(('Usage Detail'!$B$5:$B$204="Gift")),ROW(A162))),"")</f>
        <v/>
      </c>
      <c r="E169" s="4">
        <f>IFERROR(INDEX('Usage Detail'!$E:$E,AGGREGATE(15,6,ROW('Usage Detail'!$A$5:$A$204)/(('Usage Detail'!$B$5:$B$204="Gift")),ROW(A162))),"")</f>
        <v/>
      </c>
      <c r="F169" s="4">
        <f>IFERROR(INDEX('Usage Detail'!$F:$F,AGGREGATE(15,6,ROW('Usage Detail'!$A$5:$A$204)/(('Usage Detail'!$B$5:$B$204="Gift")),ROW(A162))),"")</f>
        <v/>
      </c>
      <c r="G169" s="4">
        <f>IFERROR(INDEX('Usage Detail'!$G:$G,AGGREGATE(15,6,ROW('Usage Detail'!$A$5:$A$204)/(('Usage Detail'!$B$5:$B$204="Gift")),ROW(A162))),"")</f>
        <v/>
      </c>
      <c r="H169" s="4">
        <f>IFERROR(INDEX('Usage Detail'!$H:$H,AGGREGATE(15,6,ROW('Usage Detail'!$A$5:$A$204)/(('Usage Detail'!$B$5:$B$204="Gift")),ROW(A162))),"")</f>
        <v/>
      </c>
    </row>
    <row r="170">
      <c r="A170" s="3">
        <f>IFERROR(INDEX('Usage Detail'!$A:$A,AGGREGATE(15,6,ROW('Usage Detail'!$A$5:$A$204)/(('Usage Detail'!$B$5:$B$204="Gift")),ROW(A163))),"")</f>
        <v/>
      </c>
      <c r="B170" s="3">
        <f>IFERROR(INDEX('Usage Detail'!$B:$B,AGGREGATE(15,6,ROW('Usage Detail'!$A$5:$A$204)/(('Usage Detail'!$B$5:$B$204="Gift")),ROW(A163))),"")</f>
        <v/>
      </c>
      <c r="C170" s="3">
        <f>IFERROR(INDEX('Usage Detail'!$C:$C,AGGREGATE(15,6,ROW('Usage Detail'!$A$5:$A$204)/(('Usage Detail'!$B$5:$B$204="Gift")),ROW(A163))),"")</f>
        <v/>
      </c>
      <c r="D170" s="3">
        <f>IFERROR(INDEX('Usage Detail'!$D:$D,AGGREGATE(15,6,ROW('Usage Detail'!$A$5:$A$204)/(('Usage Detail'!$B$5:$B$204="Gift")),ROW(A163))),"")</f>
        <v/>
      </c>
      <c r="E170" s="4">
        <f>IFERROR(INDEX('Usage Detail'!$E:$E,AGGREGATE(15,6,ROW('Usage Detail'!$A$5:$A$204)/(('Usage Detail'!$B$5:$B$204="Gift")),ROW(A163))),"")</f>
        <v/>
      </c>
      <c r="F170" s="4">
        <f>IFERROR(INDEX('Usage Detail'!$F:$F,AGGREGATE(15,6,ROW('Usage Detail'!$A$5:$A$204)/(('Usage Detail'!$B$5:$B$204="Gift")),ROW(A163))),"")</f>
        <v/>
      </c>
      <c r="G170" s="4">
        <f>IFERROR(INDEX('Usage Detail'!$G:$G,AGGREGATE(15,6,ROW('Usage Detail'!$A$5:$A$204)/(('Usage Detail'!$B$5:$B$204="Gift")),ROW(A163))),"")</f>
        <v/>
      </c>
      <c r="H170" s="4">
        <f>IFERROR(INDEX('Usage Detail'!$H:$H,AGGREGATE(15,6,ROW('Usage Detail'!$A$5:$A$204)/(('Usage Detail'!$B$5:$B$204="Gift")),ROW(A163))),"")</f>
        <v/>
      </c>
    </row>
    <row r="171">
      <c r="A171" s="3">
        <f>IFERROR(INDEX('Usage Detail'!$A:$A,AGGREGATE(15,6,ROW('Usage Detail'!$A$5:$A$204)/(('Usage Detail'!$B$5:$B$204="Gift")),ROW(A164))),"")</f>
        <v/>
      </c>
      <c r="B171" s="3">
        <f>IFERROR(INDEX('Usage Detail'!$B:$B,AGGREGATE(15,6,ROW('Usage Detail'!$A$5:$A$204)/(('Usage Detail'!$B$5:$B$204="Gift")),ROW(A164))),"")</f>
        <v/>
      </c>
      <c r="C171" s="3">
        <f>IFERROR(INDEX('Usage Detail'!$C:$C,AGGREGATE(15,6,ROW('Usage Detail'!$A$5:$A$204)/(('Usage Detail'!$B$5:$B$204="Gift")),ROW(A164))),"")</f>
        <v/>
      </c>
      <c r="D171" s="3">
        <f>IFERROR(INDEX('Usage Detail'!$D:$D,AGGREGATE(15,6,ROW('Usage Detail'!$A$5:$A$204)/(('Usage Detail'!$B$5:$B$204="Gift")),ROW(A164))),"")</f>
        <v/>
      </c>
      <c r="E171" s="4">
        <f>IFERROR(INDEX('Usage Detail'!$E:$E,AGGREGATE(15,6,ROW('Usage Detail'!$A$5:$A$204)/(('Usage Detail'!$B$5:$B$204="Gift")),ROW(A164))),"")</f>
        <v/>
      </c>
      <c r="F171" s="4">
        <f>IFERROR(INDEX('Usage Detail'!$F:$F,AGGREGATE(15,6,ROW('Usage Detail'!$A$5:$A$204)/(('Usage Detail'!$B$5:$B$204="Gift")),ROW(A164))),"")</f>
        <v/>
      </c>
      <c r="G171" s="4">
        <f>IFERROR(INDEX('Usage Detail'!$G:$G,AGGREGATE(15,6,ROW('Usage Detail'!$A$5:$A$204)/(('Usage Detail'!$B$5:$B$204="Gift")),ROW(A164))),"")</f>
        <v/>
      </c>
      <c r="H171" s="4">
        <f>IFERROR(INDEX('Usage Detail'!$H:$H,AGGREGATE(15,6,ROW('Usage Detail'!$A$5:$A$204)/(('Usage Detail'!$B$5:$B$204="Gift")),ROW(A164))),"")</f>
        <v/>
      </c>
    </row>
    <row r="172">
      <c r="A172" s="3">
        <f>IFERROR(INDEX('Usage Detail'!$A:$A,AGGREGATE(15,6,ROW('Usage Detail'!$A$5:$A$204)/(('Usage Detail'!$B$5:$B$204="Gift")),ROW(A165))),"")</f>
        <v/>
      </c>
      <c r="B172" s="3">
        <f>IFERROR(INDEX('Usage Detail'!$B:$B,AGGREGATE(15,6,ROW('Usage Detail'!$A$5:$A$204)/(('Usage Detail'!$B$5:$B$204="Gift")),ROW(A165))),"")</f>
        <v/>
      </c>
      <c r="C172" s="3">
        <f>IFERROR(INDEX('Usage Detail'!$C:$C,AGGREGATE(15,6,ROW('Usage Detail'!$A$5:$A$204)/(('Usage Detail'!$B$5:$B$204="Gift")),ROW(A165))),"")</f>
        <v/>
      </c>
      <c r="D172" s="3">
        <f>IFERROR(INDEX('Usage Detail'!$D:$D,AGGREGATE(15,6,ROW('Usage Detail'!$A$5:$A$204)/(('Usage Detail'!$B$5:$B$204="Gift")),ROW(A165))),"")</f>
        <v/>
      </c>
      <c r="E172" s="4">
        <f>IFERROR(INDEX('Usage Detail'!$E:$E,AGGREGATE(15,6,ROW('Usage Detail'!$A$5:$A$204)/(('Usage Detail'!$B$5:$B$204="Gift")),ROW(A165))),"")</f>
        <v/>
      </c>
      <c r="F172" s="4">
        <f>IFERROR(INDEX('Usage Detail'!$F:$F,AGGREGATE(15,6,ROW('Usage Detail'!$A$5:$A$204)/(('Usage Detail'!$B$5:$B$204="Gift")),ROW(A165))),"")</f>
        <v/>
      </c>
      <c r="G172" s="4">
        <f>IFERROR(INDEX('Usage Detail'!$G:$G,AGGREGATE(15,6,ROW('Usage Detail'!$A$5:$A$204)/(('Usage Detail'!$B$5:$B$204="Gift")),ROW(A165))),"")</f>
        <v/>
      </c>
      <c r="H172" s="4">
        <f>IFERROR(INDEX('Usage Detail'!$H:$H,AGGREGATE(15,6,ROW('Usage Detail'!$A$5:$A$204)/(('Usage Detail'!$B$5:$B$204="Gift")),ROW(A165))),"")</f>
        <v/>
      </c>
    </row>
    <row r="173">
      <c r="A173" s="3">
        <f>IFERROR(INDEX('Usage Detail'!$A:$A,AGGREGATE(15,6,ROW('Usage Detail'!$A$5:$A$204)/(('Usage Detail'!$B$5:$B$204="Gift")),ROW(A166))),"")</f>
        <v/>
      </c>
      <c r="B173" s="3">
        <f>IFERROR(INDEX('Usage Detail'!$B:$B,AGGREGATE(15,6,ROW('Usage Detail'!$A$5:$A$204)/(('Usage Detail'!$B$5:$B$204="Gift")),ROW(A166))),"")</f>
        <v/>
      </c>
      <c r="C173" s="3">
        <f>IFERROR(INDEX('Usage Detail'!$C:$C,AGGREGATE(15,6,ROW('Usage Detail'!$A$5:$A$204)/(('Usage Detail'!$B$5:$B$204="Gift")),ROW(A166))),"")</f>
        <v/>
      </c>
      <c r="D173" s="3">
        <f>IFERROR(INDEX('Usage Detail'!$D:$D,AGGREGATE(15,6,ROW('Usage Detail'!$A$5:$A$204)/(('Usage Detail'!$B$5:$B$204="Gift")),ROW(A166))),"")</f>
        <v/>
      </c>
      <c r="E173" s="4">
        <f>IFERROR(INDEX('Usage Detail'!$E:$E,AGGREGATE(15,6,ROW('Usage Detail'!$A$5:$A$204)/(('Usage Detail'!$B$5:$B$204="Gift")),ROW(A166))),"")</f>
        <v/>
      </c>
      <c r="F173" s="4">
        <f>IFERROR(INDEX('Usage Detail'!$F:$F,AGGREGATE(15,6,ROW('Usage Detail'!$A$5:$A$204)/(('Usage Detail'!$B$5:$B$204="Gift")),ROW(A166))),"")</f>
        <v/>
      </c>
      <c r="G173" s="4">
        <f>IFERROR(INDEX('Usage Detail'!$G:$G,AGGREGATE(15,6,ROW('Usage Detail'!$A$5:$A$204)/(('Usage Detail'!$B$5:$B$204="Gift")),ROW(A166))),"")</f>
        <v/>
      </c>
      <c r="H173" s="4">
        <f>IFERROR(INDEX('Usage Detail'!$H:$H,AGGREGATE(15,6,ROW('Usage Detail'!$A$5:$A$204)/(('Usage Detail'!$B$5:$B$204="Gift")),ROW(A166))),"")</f>
        <v/>
      </c>
    </row>
    <row r="174">
      <c r="A174" s="3">
        <f>IFERROR(INDEX('Usage Detail'!$A:$A,AGGREGATE(15,6,ROW('Usage Detail'!$A$5:$A$204)/(('Usage Detail'!$B$5:$B$204="Gift")),ROW(A167))),"")</f>
        <v/>
      </c>
      <c r="B174" s="3">
        <f>IFERROR(INDEX('Usage Detail'!$B:$B,AGGREGATE(15,6,ROW('Usage Detail'!$A$5:$A$204)/(('Usage Detail'!$B$5:$B$204="Gift")),ROW(A167))),"")</f>
        <v/>
      </c>
      <c r="C174" s="3">
        <f>IFERROR(INDEX('Usage Detail'!$C:$C,AGGREGATE(15,6,ROW('Usage Detail'!$A$5:$A$204)/(('Usage Detail'!$B$5:$B$204="Gift")),ROW(A167))),"")</f>
        <v/>
      </c>
      <c r="D174" s="3">
        <f>IFERROR(INDEX('Usage Detail'!$D:$D,AGGREGATE(15,6,ROW('Usage Detail'!$A$5:$A$204)/(('Usage Detail'!$B$5:$B$204="Gift")),ROW(A167))),"")</f>
        <v/>
      </c>
      <c r="E174" s="4">
        <f>IFERROR(INDEX('Usage Detail'!$E:$E,AGGREGATE(15,6,ROW('Usage Detail'!$A$5:$A$204)/(('Usage Detail'!$B$5:$B$204="Gift")),ROW(A167))),"")</f>
        <v/>
      </c>
      <c r="F174" s="4">
        <f>IFERROR(INDEX('Usage Detail'!$F:$F,AGGREGATE(15,6,ROW('Usage Detail'!$A$5:$A$204)/(('Usage Detail'!$B$5:$B$204="Gift")),ROW(A167))),"")</f>
        <v/>
      </c>
      <c r="G174" s="4">
        <f>IFERROR(INDEX('Usage Detail'!$G:$G,AGGREGATE(15,6,ROW('Usage Detail'!$A$5:$A$204)/(('Usage Detail'!$B$5:$B$204="Gift")),ROW(A167))),"")</f>
        <v/>
      </c>
      <c r="H174" s="4">
        <f>IFERROR(INDEX('Usage Detail'!$H:$H,AGGREGATE(15,6,ROW('Usage Detail'!$A$5:$A$204)/(('Usage Detail'!$B$5:$B$204="Gift")),ROW(A167))),"")</f>
        <v/>
      </c>
    </row>
    <row r="175">
      <c r="A175" s="3">
        <f>IFERROR(INDEX('Usage Detail'!$A:$A,AGGREGATE(15,6,ROW('Usage Detail'!$A$5:$A$204)/(('Usage Detail'!$B$5:$B$204="Gift")),ROW(A168))),"")</f>
        <v/>
      </c>
      <c r="B175" s="3">
        <f>IFERROR(INDEX('Usage Detail'!$B:$B,AGGREGATE(15,6,ROW('Usage Detail'!$A$5:$A$204)/(('Usage Detail'!$B$5:$B$204="Gift")),ROW(A168))),"")</f>
        <v/>
      </c>
      <c r="C175" s="3">
        <f>IFERROR(INDEX('Usage Detail'!$C:$C,AGGREGATE(15,6,ROW('Usage Detail'!$A$5:$A$204)/(('Usage Detail'!$B$5:$B$204="Gift")),ROW(A168))),"")</f>
        <v/>
      </c>
      <c r="D175" s="3">
        <f>IFERROR(INDEX('Usage Detail'!$D:$D,AGGREGATE(15,6,ROW('Usage Detail'!$A$5:$A$204)/(('Usage Detail'!$B$5:$B$204="Gift")),ROW(A168))),"")</f>
        <v/>
      </c>
      <c r="E175" s="4">
        <f>IFERROR(INDEX('Usage Detail'!$E:$E,AGGREGATE(15,6,ROW('Usage Detail'!$A$5:$A$204)/(('Usage Detail'!$B$5:$B$204="Gift")),ROW(A168))),"")</f>
        <v/>
      </c>
      <c r="F175" s="4">
        <f>IFERROR(INDEX('Usage Detail'!$F:$F,AGGREGATE(15,6,ROW('Usage Detail'!$A$5:$A$204)/(('Usage Detail'!$B$5:$B$204="Gift")),ROW(A168))),"")</f>
        <v/>
      </c>
      <c r="G175" s="4">
        <f>IFERROR(INDEX('Usage Detail'!$G:$G,AGGREGATE(15,6,ROW('Usage Detail'!$A$5:$A$204)/(('Usage Detail'!$B$5:$B$204="Gift")),ROW(A168))),"")</f>
        <v/>
      </c>
      <c r="H175" s="4">
        <f>IFERROR(INDEX('Usage Detail'!$H:$H,AGGREGATE(15,6,ROW('Usage Detail'!$A$5:$A$204)/(('Usage Detail'!$B$5:$B$204="Gift")),ROW(A168))),"")</f>
        <v/>
      </c>
    </row>
    <row r="176">
      <c r="A176" s="3">
        <f>IFERROR(INDEX('Usage Detail'!$A:$A,AGGREGATE(15,6,ROW('Usage Detail'!$A$5:$A$204)/(('Usage Detail'!$B$5:$B$204="Gift")),ROW(A169))),"")</f>
        <v/>
      </c>
      <c r="B176" s="3">
        <f>IFERROR(INDEX('Usage Detail'!$B:$B,AGGREGATE(15,6,ROW('Usage Detail'!$A$5:$A$204)/(('Usage Detail'!$B$5:$B$204="Gift")),ROW(A169))),"")</f>
        <v/>
      </c>
      <c r="C176" s="3">
        <f>IFERROR(INDEX('Usage Detail'!$C:$C,AGGREGATE(15,6,ROW('Usage Detail'!$A$5:$A$204)/(('Usage Detail'!$B$5:$B$204="Gift")),ROW(A169))),"")</f>
        <v/>
      </c>
      <c r="D176" s="3">
        <f>IFERROR(INDEX('Usage Detail'!$D:$D,AGGREGATE(15,6,ROW('Usage Detail'!$A$5:$A$204)/(('Usage Detail'!$B$5:$B$204="Gift")),ROW(A169))),"")</f>
        <v/>
      </c>
      <c r="E176" s="4">
        <f>IFERROR(INDEX('Usage Detail'!$E:$E,AGGREGATE(15,6,ROW('Usage Detail'!$A$5:$A$204)/(('Usage Detail'!$B$5:$B$204="Gift")),ROW(A169))),"")</f>
        <v/>
      </c>
      <c r="F176" s="4">
        <f>IFERROR(INDEX('Usage Detail'!$F:$F,AGGREGATE(15,6,ROW('Usage Detail'!$A$5:$A$204)/(('Usage Detail'!$B$5:$B$204="Gift")),ROW(A169))),"")</f>
        <v/>
      </c>
      <c r="G176" s="4">
        <f>IFERROR(INDEX('Usage Detail'!$G:$G,AGGREGATE(15,6,ROW('Usage Detail'!$A$5:$A$204)/(('Usage Detail'!$B$5:$B$204="Gift")),ROW(A169))),"")</f>
        <v/>
      </c>
      <c r="H176" s="4">
        <f>IFERROR(INDEX('Usage Detail'!$H:$H,AGGREGATE(15,6,ROW('Usage Detail'!$A$5:$A$204)/(('Usage Detail'!$B$5:$B$204="Gift")),ROW(A169))),"")</f>
        <v/>
      </c>
    </row>
    <row r="177">
      <c r="A177" s="3">
        <f>IFERROR(INDEX('Usage Detail'!$A:$A,AGGREGATE(15,6,ROW('Usage Detail'!$A$5:$A$204)/(('Usage Detail'!$B$5:$B$204="Gift")),ROW(A170))),"")</f>
        <v/>
      </c>
      <c r="B177" s="3">
        <f>IFERROR(INDEX('Usage Detail'!$B:$B,AGGREGATE(15,6,ROW('Usage Detail'!$A$5:$A$204)/(('Usage Detail'!$B$5:$B$204="Gift")),ROW(A170))),"")</f>
        <v/>
      </c>
      <c r="C177" s="3">
        <f>IFERROR(INDEX('Usage Detail'!$C:$C,AGGREGATE(15,6,ROW('Usage Detail'!$A$5:$A$204)/(('Usage Detail'!$B$5:$B$204="Gift")),ROW(A170))),"")</f>
        <v/>
      </c>
      <c r="D177" s="3">
        <f>IFERROR(INDEX('Usage Detail'!$D:$D,AGGREGATE(15,6,ROW('Usage Detail'!$A$5:$A$204)/(('Usage Detail'!$B$5:$B$204="Gift")),ROW(A170))),"")</f>
        <v/>
      </c>
      <c r="E177" s="4">
        <f>IFERROR(INDEX('Usage Detail'!$E:$E,AGGREGATE(15,6,ROW('Usage Detail'!$A$5:$A$204)/(('Usage Detail'!$B$5:$B$204="Gift")),ROW(A170))),"")</f>
        <v/>
      </c>
      <c r="F177" s="4">
        <f>IFERROR(INDEX('Usage Detail'!$F:$F,AGGREGATE(15,6,ROW('Usage Detail'!$A$5:$A$204)/(('Usage Detail'!$B$5:$B$204="Gift")),ROW(A170))),"")</f>
        <v/>
      </c>
      <c r="G177" s="4">
        <f>IFERROR(INDEX('Usage Detail'!$G:$G,AGGREGATE(15,6,ROW('Usage Detail'!$A$5:$A$204)/(('Usage Detail'!$B$5:$B$204="Gift")),ROW(A170))),"")</f>
        <v/>
      </c>
      <c r="H177" s="4">
        <f>IFERROR(INDEX('Usage Detail'!$H:$H,AGGREGATE(15,6,ROW('Usage Detail'!$A$5:$A$204)/(('Usage Detail'!$B$5:$B$204="Gift")),ROW(A170))),"")</f>
        <v/>
      </c>
    </row>
    <row r="178">
      <c r="A178" s="3">
        <f>IFERROR(INDEX('Usage Detail'!$A:$A,AGGREGATE(15,6,ROW('Usage Detail'!$A$5:$A$204)/(('Usage Detail'!$B$5:$B$204="Gift")),ROW(A171))),"")</f>
        <v/>
      </c>
      <c r="B178" s="3">
        <f>IFERROR(INDEX('Usage Detail'!$B:$B,AGGREGATE(15,6,ROW('Usage Detail'!$A$5:$A$204)/(('Usage Detail'!$B$5:$B$204="Gift")),ROW(A171))),"")</f>
        <v/>
      </c>
      <c r="C178" s="3">
        <f>IFERROR(INDEX('Usage Detail'!$C:$C,AGGREGATE(15,6,ROW('Usage Detail'!$A$5:$A$204)/(('Usage Detail'!$B$5:$B$204="Gift")),ROW(A171))),"")</f>
        <v/>
      </c>
      <c r="D178" s="3">
        <f>IFERROR(INDEX('Usage Detail'!$D:$D,AGGREGATE(15,6,ROW('Usage Detail'!$A$5:$A$204)/(('Usage Detail'!$B$5:$B$204="Gift")),ROW(A171))),"")</f>
        <v/>
      </c>
      <c r="E178" s="4">
        <f>IFERROR(INDEX('Usage Detail'!$E:$E,AGGREGATE(15,6,ROW('Usage Detail'!$A$5:$A$204)/(('Usage Detail'!$B$5:$B$204="Gift")),ROW(A171))),"")</f>
        <v/>
      </c>
      <c r="F178" s="4">
        <f>IFERROR(INDEX('Usage Detail'!$F:$F,AGGREGATE(15,6,ROW('Usage Detail'!$A$5:$A$204)/(('Usage Detail'!$B$5:$B$204="Gift")),ROW(A171))),"")</f>
        <v/>
      </c>
      <c r="G178" s="4">
        <f>IFERROR(INDEX('Usage Detail'!$G:$G,AGGREGATE(15,6,ROW('Usage Detail'!$A$5:$A$204)/(('Usage Detail'!$B$5:$B$204="Gift")),ROW(A171))),"")</f>
        <v/>
      </c>
      <c r="H178" s="4">
        <f>IFERROR(INDEX('Usage Detail'!$H:$H,AGGREGATE(15,6,ROW('Usage Detail'!$A$5:$A$204)/(('Usage Detail'!$B$5:$B$204="Gift")),ROW(A171))),"")</f>
        <v/>
      </c>
    </row>
    <row r="179">
      <c r="A179" s="3">
        <f>IFERROR(INDEX('Usage Detail'!$A:$A,AGGREGATE(15,6,ROW('Usage Detail'!$A$5:$A$204)/(('Usage Detail'!$B$5:$B$204="Gift")),ROW(A172))),"")</f>
        <v/>
      </c>
      <c r="B179" s="3">
        <f>IFERROR(INDEX('Usage Detail'!$B:$B,AGGREGATE(15,6,ROW('Usage Detail'!$A$5:$A$204)/(('Usage Detail'!$B$5:$B$204="Gift")),ROW(A172))),"")</f>
        <v/>
      </c>
      <c r="C179" s="3">
        <f>IFERROR(INDEX('Usage Detail'!$C:$C,AGGREGATE(15,6,ROW('Usage Detail'!$A$5:$A$204)/(('Usage Detail'!$B$5:$B$204="Gift")),ROW(A172))),"")</f>
        <v/>
      </c>
      <c r="D179" s="3">
        <f>IFERROR(INDEX('Usage Detail'!$D:$D,AGGREGATE(15,6,ROW('Usage Detail'!$A$5:$A$204)/(('Usage Detail'!$B$5:$B$204="Gift")),ROW(A172))),"")</f>
        <v/>
      </c>
      <c r="E179" s="4">
        <f>IFERROR(INDEX('Usage Detail'!$E:$E,AGGREGATE(15,6,ROW('Usage Detail'!$A$5:$A$204)/(('Usage Detail'!$B$5:$B$204="Gift")),ROW(A172))),"")</f>
        <v/>
      </c>
      <c r="F179" s="4">
        <f>IFERROR(INDEX('Usage Detail'!$F:$F,AGGREGATE(15,6,ROW('Usage Detail'!$A$5:$A$204)/(('Usage Detail'!$B$5:$B$204="Gift")),ROW(A172))),"")</f>
        <v/>
      </c>
      <c r="G179" s="4">
        <f>IFERROR(INDEX('Usage Detail'!$G:$G,AGGREGATE(15,6,ROW('Usage Detail'!$A$5:$A$204)/(('Usage Detail'!$B$5:$B$204="Gift")),ROW(A172))),"")</f>
        <v/>
      </c>
      <c r="H179" s="4">
        <f>IFERROR(INDEX('Usage Detail'!$H:$H,AGGREGATE(15,6,ROW('Usage Detail'!$A$5:$A$204)/(('Usage Detail'!$B$5:$B$204="Gift")),ROW(A172))),"")</f>
        <v/>
      </c>
    </row>
    <row r="180">
      <c r="A180" s="3">
        <f>IFERROR(INDEX('Usage Detail'!$A:$A,AGGREGATE(15,6,ROW('Usage Detail'!$A$5:$A$204)/(('Usage Detail'!$B$5:$B$204="Gift")),ROW(A173))),"")</f>
        <v/>
      </c>
      <c r="B180" s="3">
        <f>IFERROR(INDEX('Usage Detail'!$B:$B,AGGREGATE(15,6,ROW('Usage Detail'!$A$5:$A$204)/(('Usage Detail'!$B$5:$B$204="Gift")),ROW(A173))),"")</f>
        <v/>
      </c>
      <c r="C180" s="3">
        <f>IFERROR(INDEX('Usage Detail'!$C:$C,AGGREGATE(15,6,ROW('Usage Detail'!$A$5:$A$204)/(('Usage Detail'!$B$5:$B$204="Gift")),ROW(A173))),"")</f>
        <v/>
      </c>
      <c r="D180" s="3">
        <f>IFERROR(INDEX('Usage Detail'!$D:$D,AGGREGATE(15,6,ROW('Usage Detail'!$A$5:$A$204)/(('Usage Detail'!$B$5:$B$204="Gift")),ROW(A173))),"")</f>
        <v/>
      </c>
      <c r="E180" s="4">
        <f>IFERROR(INDEX('Usage Detail'!$E:$E,AGGREGATE(15,6,ROW('Usage Detail'!$A$5:$A$204)/(('Usage Detail'!$B$5:$B$204="Gift")),ROW(A173))),"")</f>
        <v/>
      </c>
      <c r="F180" s="4">
        <f>IFERROR(INDEX('Usage Detail'!$F:$F,AGGREGATE(15,6,ROW('Usage Detail'!$A$5:$A$204)/(('Usage Detail'!$B$5:$B$204="Gift")),ROW(A173))),"")</f>
        <v/>
      </c>
      <c r="G180" s="4">
        <f>IFERROR(INDEX('Usage Detail'!$G:$G,AGGREGATE(15,6,ROW('Usage Detail'!$A$5:$A$204)/(('Usage Detail'!$B$5:$B$204="Gift")),ROW(A173))),"")</f>
        <v/>
      </c>
      <c r="H180" s="4">
        <f>IFERROR(INDEX('Usage Detail'!$H:$H,AGGREGATE(15,6,ROW('Usage Detail'!$A$5:$A$204)/(('Usage Detail'!$B$5:$B$204="Gift")),ROW(A173))),"")</f>
        <v/>
      </c>
    </row>
    <row r="181">
      <c r="A181" s="3">
        <f>IFERROR(INDEX('Usage Detail'!$A:$A,AGGREGATE(15,6,ROW('Usage Detail'!$A$5:$A$204)/(('Usage Detail'!$B$5:$B$204="Gift")),ROW(A174))),"")</f>
        <v/>
      </c>
      <c r="B181" s="3">
        <f>IFERROR(INDEX('Usage Detail'!$B:$B,AGGREGATE(15,6,ROW('Usage Detail'!$A$5:$A$204)/(('Usage Detail'!$B$5:$B$204="Gift")),ROW(A174))),"")</f>
        <v/>
      </c>
      <c r="C181" s="3">
        <f>IFERROR(INDEX('Usage Detail'!$C:$C,AGGREGATE(15,6,ROW('Usage Detail'!$A$5:$A$204)/(('Usage Detail'!$B$5:$B$204="Gift")),ROW(A174))),"")</f>
        <v/>
      </c>
      <c r="D181" s="3">
        <f>IFERROR(INDEX('Usage Detail'!$D:$D,AGGREGATE(15,6,ROW('Usage Detail'!$A$5:$A$204)/(('Usage Detail'!$B$5:$B$204="Gift")),ROW(A174))),"")</f>
        <v/>
      </c>
      <c r="E181" s="4">
        <f>IFERROR(INDEX('Usage Detail'!$E:$E,AGGREGATE(15,6,ROW('Usage Detail'!$A$5:$A$204)/(('Usage Detail'!$B$5:$B$204="Gift")),ROW(A174))),"")</f>
        <v/>
      </c>
      <c r="F181" s="4">
        <f>IFERROR(INDEX('Usage Detail'!$F:$F,AGGREGATE(15,6,ROW('Usage Detail'!$A$5:$A$204)/(('Usage Detail'!$B$5:$B$204="Gift")),ROW(A174))),"")</f>
        <v/>
      </c>
      <c r="G181" s="4">
        <f>IFERROR(INDEX('Usage Detail'!$G:$G,AGGREGATE(15,6,ROW('Usage Detail'!$A$5:$A$204)/(('Usage Detail'!$B$5:$B$204="Gift")),ROW(A174))),"")</f>
        <v/>
      </c>
      <c r="H181" s="4">
        <f>IFERROR(INDEX('Usage Detail'!$H:$H,AGGREGATE(15,6,ROW('Usage Detail'!$A$5:$A$204)/(('Usage Detail'!$B$5:$B$204="Gift")),ROW(A174))),"")</f>
        <v/>
      </c>
    </row>
    <row r="182">
      <c r="A182" s="3">
        <f>IFERROR(INDEX('Usage Detail'!$A:$A,AGGREGATE(15,6,ROW('Usage Detail'!$A$5:$A$204)/(('Usage Detail'!$B$5:$B$204="Gift")),ROW(A175))),"")</f>
        <v/>
      </c>
      <c r="B182" s="3">
        <f>IFERROR(INDEX('Usage Detail'!$B:$B,AGGREGATE(15,6,ROW('Usage Detail'!$A$5:$A$204)/(('Usage Detail'!$B$5:$B$204="Gift")),ROW(A175))),"")</f>
        <v/>
      </c>
      <c r="C182" s="3">
        <f>IFERROR(INDEX('Usage Detail'!$C:$C,AGGREGATE(15,6,ROW('Usage Detail'!$A$5:$A$204)/(('Usage Detail'!$B$5:$B$204="Gift")),ROW(A175))),"")</f>
        <v/>
      </c>
      <c r="D182" s="3">
        <f>IFERROR(INDEX('Usage Detail'!$D:$D,AGGREGATE(15,6,ROW('Usage Detail'!$A$5:$A$204)/(('Usage Detail'!$B$5:$B$204="Gift")),ROW(A175))),"")</f>
        <v/>
      </c>
      <c r="E182" s="4">
        <f>IFERROR(INDEX('Usage Detail'!$E:$E,AGGREGATE(15,6,ROW('Usage Detail'!$A$5:$A$204)/(('Usage Detail'!$B$5:$B$204="Gift")),ROW(A175))),"")</f>
        <v/>
      </c>
      <c r="F182" s="4">
        <f>IFERROR(INDEX('Usage Detail'!$F:$F,AGGREGATE(15,6,ROW('Usage Detail'!$A$5:$A$204)/(('Usage Detail'!$B$5:$B$204="Gift")),ROW(A175))),"")</f>
        <v/>
      </c>
      <c r="G182" s="4">
        <f>IFERROR(INDEX('Usage Detail'!$G:$G,AGGREGATE(15,6,ROW('Usage Detail'!$A$5:$A$204)/(('Usage Detail'!$B$5:$B$204="Gift")),ROW(A175))),"")</f>
        <v/>
      </c>
      <c r="H182" s="4">
        <f>IFERROR(INDEX('Usage Detail'!$H:$H,AGGREGATE(15,6,ROW('Usage Detail'!$A$5:$A$204)/(('Usage Detail'!$B$5:$B$204="Gift")),ROW(A175))),"")</f>
        <v/>
      </c>
    </row>
    <row r="183">
      <c r="A183" s="3">
        <f>IFERROR(INDEX('Usage Detail'!$A:$A,AGGREGATE(15,6,ROW('Usage Detail'!$A$5:$A$204)/(('Usage Detail'!$B$5:$B$204="Gift")),ROW(A176))),"")</f>
        <v/>
      </c>
      <c r="B183" s="3">
        <f>IFERROR(INDEX('Usage Detail'!$B:$B,AGGREGATE(15,6,ROW('Usage Detail'!$A$5:$A$204)/(('Usage Detail'!$B$5:$B$204="Gift")),ROW(A176))),"")</f>
        <v/>
      </c>
      <c r="C183" s="3">
        <f>IFERROR(INDEX('Usage Detail'!$C:$C,AGGREGATE(15,6,ROW('Usage Detail'!$A$5:$A$204)/(('Usage Detail'!$B$5:$B$204="Gift")),ROW(A176))),"")</f>
        <v/>
      </c>
      <c r="D183" s="3">
        <f>IFERROR(INDEX('Usage Detail'!$D:$D,AGGREGATE(15,6,ROW('Usage Detail'!$A$5:$A$204)/(('Usage Detail'!$B$5:$B$204="Gift")),ROW(A176))),"")</f>
        <v/>
      </c>
      <c r="E183" s="4">
        <f>IFERROR(INDEX('Usage Detail'!$E:$E,AGGREGATE(15,6,ROW('Usage Detail'!$A$5:$A$204)/(('Usage Detail'!$B$5:$B$204="Gift")),ROW(A176))),"")</f>
        <v/>
      </c>
      <c r="F183" s="4">
        <f>IFERROR(INDEX('Usage Detail'!$F:$F,AGGREGATE(15,6,ROW('Usage Detail'!$A$5:$A$204)/(('Usage Detail'!$B$5:$B$204="Gift")),ROW(A176))),"")</f>
        <v/>
      </c>
      <c r="G183" s="4">
        <f>IFERROR(INDEX('Usage Detail'!$G:$G,AGGREGATE(15,6,ROW('Usage Detail'!$A$5:$A$204)/(('Usage Detail'!$B$5:$B$204="Gift")),ROW(A176))),"")</f>
        <v/>
      </c>
      <c r="H183" s="4">
        <f>IFERROR(INDEX('Usage Detail'!$H:$H,AGGREGATE(15,6,ROW('Usage Detail'!$A$5:$A$204)/(('Usage Detail'!$B$5:$B$204="Gift")),ROW(A176))),"")</f>
        <v/>
      </c>
    </row>
    <row r="184">
      <c r="A184" s="3">
        <f>IFERROR(INDEX('Usage Detail'!$A:$A,AGGREGATE(15,6,ROW('Usage Detail'!$A$5:$A$204)/(('Usage Detail'!$B$5:$B$204="Gift")),ROW(A177))),"")</f>
        <v/>
      </c>
      <c r="B184" s="3">
        <f>IFERROR(INDEX('Usage Detail'!$B:$B,AGGREGATE(15,6,ROW('Usage Detail'!$A$5:$A$204)/(('Usage Detail'!$B$5:$B$204="Gift")),ROW(A177))),"")</f>
        <v/>
      </c>
      <c r="C184" s="3">
        <f>IFERROR(INDEX('Usage Detail'!$C:$C,AGGREGATE(15,6,ROW('Usage Detail'!$A$5:$A$204)/(('Usage Detail'!$B$5:$B$204="Gift")),ROW(A177))),"")</f>
        <v/>
      </c>
      <c r="D184" s="3">
        <f>IFERROR(INDEX('Usage Detail'!$D:$D,AGGREGATE(15,6,ROW('Usage Detail'!$A$5:$A$204)/(('Usage Detail'!$B$5:$B$204="Gift")),ROW(A177))),"")</f>
        <v/>
      </c>
      <c r="E184" s="4">
        <f>IFERROR(INDEX('Usage Detail'!$E:$E,AGGREGATE(15,6,ROW('Usage Detail'!$A$5:$A$204)/(('Usage Detail'!$B$5:$B$204="Gift")),ROW(A177))),"")</f>
        <v/>
      </c>
      <c r="F184" s="4">
        <f>IFERROR(INDEX('Usage Detail'!$F:$F,AGGREGATE(15,6,ROW('Usage Detail'!$A$5:$A$204)/(('Usage Detail'!$B$5:$B$204="Gift")),ROW(A177))),"")</f>
        <v/>
      </c>
      <c r="G184" s="4">
        <f>IFERROR(INDEX('Usage Detail'!$G:$G,AGGREGATE(15,6,ROW('Usage Detail'!$A$5:$A$204)/(('Usage Detail'!$B$5:$B$204="Gift")),ROW(A177))),"")</f>
        <v/>
      </c>
      <c r="H184" s="4">
        <f>IFERROR(INDEX('Usage Detail'!$H:$H,AGGREGATE(15,6,ROW('Usage Detail'!$A$5:$A$204)/(('Usage Detail'!$B$5:$B$204="Gift")),ROW(A177))),"")</f>
        <v/>
      </c>
    </row>
    <row r="185">
      <c r="A185" s="3">
        <f>IFERROR(INDEX('Usage Detail'!$A:$A,AGGREGATE(15,6,ROW('Usage Detail'!$A$5:$A$204)/(('Usage Detail'!$B$5:$B$204="Gift")),ROW(A178))),"")</f>
        <v/>
      </c>
      <c r="B185" s="3">
        <f>IFERROR(INDEX('Usage Detail'!$B:$B,AGGREGATE(15,6,ROW('Usage Detail'!$A$5:$A$204)/(('Usage Detail'!$B$5:$B$204="Gift")),ROW(A178))),"")</f>
        <v/>
      </c>
      <c r="C185" s="3">
        <f>IFERROR(INDEX('Usage Detail'!$C:$C,AGGREGATE(15,6,ROW('Usage Detail'!$A$5:$A$204)/(('Usage Detail'!$B$5:$B$204="Gift")),ROW(A178))),"")</f>
        <v/>
      </c>
      <c r="D185" s="3">
        <f>IFERROR(INDEX('Usage Detail'!$D:$D,AGGREGATE(15,6,ROW('Usage Detail'!$A$5:$A$204)/(('Usage Detail'!$B$5:$B$204="Gift")),ROW(A178))),"")</f>
        <v/>
      </c>
      <c r="E185" s="4">
        <f>IFERROR(INDEX('Usage Detail'!$E:$E,AGGREGATE(15,6,ROW('Usage Detail'!$A$5:$A$204)/(('Usage Detail'!$B$5:$B$204="Gift")),ROW(A178))),"")</f>
        <v/>
      </c>
      <c r="F185" s="4">
        <f>IFERROR(INDEX('Usage Detail'!$F:$F,AGGREGATE(15,6,ROW('Usage Detail'!$A$5:$A$204)/(('Usage Detail'!$B$5:$B$204="Gift")),ROW(A178))),"")</f>
        <v/>
      </c>
      <c r="G185" s="4">
        <f>IFERROR(INDEX('Usage Detail'!$G:$G,AGGREGATE(15,6,ROW('Usage Detail'!$A$5:$A$204)/(('Usage Detail'!$B$5:$B$204="Gift")),ROW(A178))),"")</f>
        <v/>
      </c>
      <c r="H185" s="4">
        <f>IFERROR(INDEX('Usage Detail'!$H:$H,AGGREGATE(15,6,ROW('Usage Detail'!$A$5:$A$204)/(('Usage Detail'!$B$5:$B$204="Gift")),ROW(A178))),"")</f>
        <v/>
      </c>
    </row>
    <row r="186">
      <c r="A186" s="3">
        <f>IFERROR(INDEX('Usage Detail'!$A:$A,AGGREGATE(15,6,ROW('Usage Detail'!$A$5:$A$204)/(('Usage Detail'!$B$5:$B$204="Gift")),ROW(A179))),"")</f>
        <v/>
      </c>
      <c r="B186" s="3">
        <f>IFERROR(INDEX('Usage Detail'!$B:$B,AGGREGATE(15,6,ROW('Usage Detail'!$A$5:$A$204)/(('Usage Detail'!$B$5:$B$204="Gift")),ROW(A179))),"")</f>
        <v/>
      </c>
      <c r="C186" s="3">
        <f>IFERROR(INDEX('Usage Detail'!$C:$C,AGGREGATE(15,6,ROW('Usage Detail'!$A$5:$A$204)/(('Usage Detail'!$B$5:$B$204="Gift")),ROW(A179))),"")</f>
        <v/>
      </c>
      <c r="D186" s="3">
        <f>IFERROR(INDEX('Usage Detail'!$D:$D,AGGREGATE(15,6,ROW('Usage Detail'!$A$5:$A$204)/(('Usage Detail'!$B$5:$B$204="Gift")),ROW(A179))),"")</f>
        <v/>
      </c>
      <c r="E186" s="4">
        <f>IFERROR(INDEX('Usage Detail'!$E:$E,AGGREGATE(15,6,ROW('Usage Detail'!$A$5:$A$204)/(('Usage Detail'!$B$5:$B$204="Gift")),ROW(A179))),"")</f>
        <v/>
      </c>
      <c r="F186" s="4">
        <f>IFERROR(INDEX('Usage Detail'!$F:$F,AGGREGATE(15,6,ROW('Usage Detail'!$A$5:$A$204)/(('Usage Detail'!$B$5:$B$204="Gift")),ROW(A179))),"")</f>
        <v/>
      </c>
      <c r="G186" s="4">
        <f>IFERROR(INDEX('Usage Detail'!$G:$G,AGGREGATE(15,6,ROW('Usage Detail'!$A$5:$A$204)/(('Usage Detail'!$B$5:$B$204="Gift")),ROW(A179))),"")</f>
        <v/>
      </c>
      <c r="H186" s="4">
        <f>IFERROR(INDEX('Usage Detail'!$H:$H,AGGREGATE(15,6,ROW('Usage Detail'!$A$5:$A$204)/(('Usage Detail'!$B$5:$B$204="Gift")),ROW(A179))),"")</f>
        <v/>
      </c>
    </row>
    <row r="187">
      <c r="A187" s="3">
        <f>IFERROR(INDEX('Usage Detail'!$A:$A,AGGREGATE(15,6,ROW('Usage Detail'!$A$5:$A$204)/(('Usage Detail'!$B$5:$B$204="Gift")),ROW(A180))),"")</f>
        <v/>
      </c>
      <c r="B187" s="3">
        <f>IFERROR(INDEX('Usage Detail'!$B:$B,AGGREGATE(15,6,ROW('Usage Detail'!$A$5:$A$204)/(('Usage Detail'!$B$5:$B$204="Gift")),ROW(A180))),"")</f>
        <v/>
      </c>
      <c r="C187" s="3">
        <f>IFERROR(INDEX('Usage Detail'!$C:$C,AGGREGATE(15,6,ROW('Usage Detail'!$A$5:$A$204)/(('Usage Detail'!$B$5:$B$204="Gift")),ROW(A180))),"")</f>
        <v/>
      </c>
      <c r="D187" s="3">
        <f>IFERROR(INDEX('Usage Detail'!$D:$D,AGGREGATE(15,6,ROW('Usage Detail'!$A$5:$A$204)/(('Usage Detail'!$B$5:$B$204="Gift")),ROW(A180))),"")</f>
        <v/>
      </c>
      <c r="E187" s="4">
        <f>IFERROR(INDEX('Usage Detail'!$E:$E,AGGREGATE(15,6,ROW('Usage Detail'!$A$5:$A$204)/(('Usage Detail'!$B$5:$B$204="Gift")),ROW(A180))),"")</f>
        <v/>
      </c>
      <c r="F187" s="4">
        <f>IFERROR(INDEX('Usage Detail'!$F:$F,AGGREGATE(15,6,ROW('Usage Detail'!$A$5:$A$204)/(('Usage Detail'!$B$5:$B$204="Gift")),ROW(A180))),"")</f>
        <v/>
      </c>
      <c r="G187" s="4">
        <f>IFERROR(INDEX('Usage Detail'!$G:$G,AGGREGATE(15,6,ROW('Usage Detail'!$A$5:$A$204)/(('Usage Detail'!$B$5:$B$204="Gift")),ROW(A180))),"")</f>
        <v/>
      </c>
      <c r="H187" s="4">
        <f>IFERROR(INDEX('Usage Detail'!$H:$H,AGGREGATE(15,6,ROW('Usage Detail'!$A$5:$A$204)/(('Usage Detail'!$B$5:$B$204="Gift")),ROW(A180))),"")</f>
        <v/>
      </c>
    </row>
    <row r="188">
      <c r="A188" s="3">
        <f>IFERROR(INDEX('Usage Detail'!$A:$A,AGGREGATE(15,6,ROW('Usage Detail'!$A$5:$A$204)/(('Usage Detail'!$B$5:$B$204="Gift")),ROW(A181))),"")</f>
        <v/>
      </c>
      <c r="B188" s="3">
        <f>IFERROR(INDEX('Usage Detail'!$B:$B,AGGREGATE(15,6,ROW('Usage Detail'!$A$5:$A$204)/(('Usage Detail'!$B$5:$B$204="Gift")),ROW(A181))),"")</f>
        <v/>
      </c>
      <c r="C188" s="3">
        <f>IFERROR(INDEX('Usage Detail'!$C:$C,AGGREGATE(15,6,ROW('Usage Detail'!$A$5:$A$204)/(('Usage Detail'!$B$5:$B$204="Gift")),ROW(A181))),"")</f>
        <v/>
      </c>
      <c r="D188" s="3">
        <f>IFERROR(INDEX('Usage Detail'!$D:$D,AGGREGATE(15,6,ROW('Usage Detail'!$A$5:$A$204)/(('Usage Detail'!$B$5:$B$204="Gift")),ROW(A181))),"")</f>
        <v/>
      </c>
      <c r="E188" s="4">
        <f>IFERROR(INDEX('Usage Detail'!$E:$E,AGGREGATE(15,6,ROW('Usage Detail'!$A$5:$A$204)/(('Usage Detail'!$B$5:$B$204="Gift")),ROW(A181))),"")</f>
        <v/>
      </c>
      <c r="F188" s="4">
        <f>IFERROR(INDEX('Usage Detail'!$F:$F,AGGREGATE(15,6,ROW('Usage Detail'!$A$5:$A$204)/(('Usage Detail'!$B$5:$B$204="Gift")),ROW(A181))),"")</f>
        <v/>
      </c>
      <c r="G188" s="4">
        <f>IFERROR(INDEX('Usage Detail'!$G:$G,AGGREGATE(15,6,ROW('Usage Detail'!$A$5:$A$204)/(('Usage Detail'!$B$5:$B$204="Gift")),ROW(A181))),"")</f>
        <v/>
      </c>
      <c r="H188" s="4">
        <f>IFERROR(INDEX('Usage Detail'!$H:$H,AGGREGATE(15,6,ROW('Usage Detail'!$A$5:$A$204)/(('Usage Detail'!$B$5:$B$204="Gift")),ROW(A181))),"")</f>
        <v/>
      </c>
    </row>
    <row r="189">
      <c r="A189" s="3">
        <f>IFERROR(INDEX('Usage Detail'!$A:$A,AGGREGATE(15,6,ROW('Usage Detail'!$A$5:$A$204)/(('Usage Detail'!$B$5:$B$204="Gift")),ROW(A182))),"")</f>
        <v/>
      </c>
      <c r="B189" s="3">
        <f>IFERROR(INDEX('Usage Detail'!$B:$B,AGGREGATE(15,6,ROW('Usage Detail'!$A$5:$A$204)/(('Usage Detail'!$B$5:$B$204="Gift")),ROW(A182))),"")</f>
        <v/>
      </c>
      <c r="C189" s="3">
        <f>IFERROR(INDEX('Usage Detail'!$C:$C,AGGREGATE(15,6,ROW('Usage Detail'!$A$5:$A$204)/(('Usage Detail'!$B$5:$B$204="Gift")),ROW(A182))),"")</f>
        <v/>
      </c>
      <c r="D189" s="3">
        <f>IFERROR(INDEX('Usage Detail'!$D:$D,AGGREGATE(15,6,ROW('Usage Detail'!$A$5:$A$204)/(('Usage Detail'!$B$5:$B$204="Gift")),ROW(A182))),"")</f>
        <v/>
      </c>
      <c r="E189" s="4">
        <f>IFERROR(INDEX('Usage Detail'!$E:$E,AGGREGATE(15,6,ROW('Usage Detail'!$A$5:$A$204)/(('Usage Detail'!$B$5:$B$204="Gift")),ROW(A182))),"")</f>
        <v/>
      </c>
      <c r="F189" s="4">
        <f>IFERROR(INDEX('Usage Detail'!$F:$F,AGGREGATE(15,6,ROW('Usage Detail'!$A$5:$A$204)/(('Usage Detail'!$B$5:$B$204="Gift")),ROW(A182))),"")</f>
        <v/>
      </c>
      <c r="G189" s="4">
        <f>IFERROR(INDEX('Usage Detail'!$G:$G,AGGREGATE(15,6,ROW('Usage Detail'!$A$5:$A$204)/(('Usage Detail'!$B$5:$B$204="Gift")),ROW(A182))),"")</f>
        <v/>
      </c>
      <c r="H189" s="4">
        <f>IFERROR(INDEX('Usage Detail'!$H:$H,AGGREGATE(15,6,ROW('Usage Detail'!$A$5:$A$204)/(('Usage Detail'!$B$5:$B$204="Gift")),ROW(A182))),"")</f>
        <v/>
      </c>
    </row>
    <row r="190">
      <c r="A190" s="3">
        <f>IFERROR(INDEX('Usage Detail'!$A:$A,AGGREGATE(15,6,ROW('Usage Detail'!$A$5:$A$204)/(('Usage Detail'!$B$5:$B$204="Gift")),ROW(A183))),"")</f>
        <v/>
      </c>
      <c r="B190" s="3">
        <f>IFERROR(INDEX('Usage Detail'!$B:$B,AGGREGATE(15,6,ROW('Usage Detail'!$A$5:$A$204)/(('Usage Detail'!$B$5:$B$204="Gift")),ROW(A183))),"")</f>
        <v/>
      </c>
      <c r="C190" s="3">
        <f>IFERROR(INDEX('Usage Detail'!$C:$C,AGGREGATE(15,6,ROW('Usage Detail'!$A$5:$A$204)/(('Usage Detail'!$B$5:$B$204="Gift")),ROW(A183))),"")</f>
        <v/>
      </c>
      <c r="D190" s="3">
        <f>IFERROR(INDEX('Usage Detail'!$D:$D,AGGREGATE(15,6,ROW('Usage Detail'!$A$5:$A$204)/(('Usage Detail'!$B$5:$B$204="Gift")),ROW(A183))),"")</f>
        <v/>
      </c>
      <c r="E190" s="4">
        <f>IFERROR(INDEX('Usage Detail'!$E:$E,AGGREGATE(15,6,ROW('Usage Detail'!$A$5:$A$204)/(('Usage Detail'!$B$5:$B$204="Gift")),ROW(A183))),"")</f>
        <v/>
      </c>
      <c r="F190" s="4">
        <f>IFERROR(INDEX('Usage Detail'!$F:$F,AGGREGATE(15,6,ROW('Usage Detail'!$A$5:$A$204)/(('Usage Detail'!$B$5:$B$204="Gift")),ROW(A183))),"")</f>
        <v/>
      </c>
      <c r="G190" s="4">
        <f>IFERROR(INDEX('Usage Detail'!$G:$G,AGGREGATE(15,6,ROW('Usage Detail'!$A$5:$A$204)/(('Usage Detail'!$B$5:$B$204="Gift")),ROW(A183))),"")</f>
        <v/>
      </c>
      <c r="H190" s="4">
        <f>IFERROR(INDEX('Usage Detail'!$H:$H,AGGREGATE(15,6,ROW('Usage Detail'!$A$5:$A$204)/(('Usage Detail'!$B$5:$B$204="Gift")),ROW(A183))),"")</f>
        <v/>
      </c>
    </row>
    <row r="191">
      <c r="A191" s="3">
        <f>IFERROR(INDEX('Usage Detail'!$A:$A,AGGREGATE(15,6,ROW('Usage Detail'!$A$5:$A$204)/(('Usage Detail'!$B$5:$B$204="Gift")),ROW(A184))),"")</f>
        <v/>
      </c>
      <c r="B191" s="3">
        <f>IFERROR(INDEX('Usage Detail'!$B:$B,AGGREGATE(15,6,ROW('Usage Detail'!$A$5:$A$204)/(('Usage Detail'!$B$5:$B$204="Gift")),ROW(A184))),"")</f>
        <v/>
      </c>
      <c r="C191" s="3">
        <f>IFERROR(INDEX('Usage Detail'!$C:$C,AGGREGATE(15,6,ROW('Usage Detail'!$A$5:$A$204)/(('Usage Detail'!$B$5:$B$204="Gift")),ROW(A184))),"")</f>
        <v/>
      </c>
      <c r="D191" s="3">
        <f>IFERROR(INDEX('Usage Detail'!$D:$D,AGGREGATE(15,6,ROW('Usage Detail'!$A$5:$A$204)/(('Usage Detail'!$B$5:$B$204="Gift")),ROW(A184))),"")</f>
        <v/>
      </c>
      <c r="E191" s="4">
        <f>IFERROR(INDEX('Usage Detail'!$E:$E,AGGREGATE(15,6,ROW('Usage Detail'!$A$5:$A$204)/(('Usage Detail'!$B$5:$B$204="Gift")),ROW(A184))),"")</f>
        <v/>
      </c>
      <c r="F191" s="4">
        <f>IFERROR(INDEX('Usage Detail'!$F:$F,AGGREGATE(15,6,ROW('Usage Detail'!$A$5:$A$204)/(('Usage Detail'!$B$5:$B$204="Gift")),ROW(A184))),"")</f>
        <v/>
      </c>
      <c r="G191" s="4">
        <f>IFERROR(INDEX('Usage Detail'!$G:$G,AGGREGATE(15,6,ROW('Usage Detail'!$A$5:$A$204)/(('Usage Detail'!$B$5:$B$204="Gift")),ROW(A184))),"")</f>
        <v/>
      </c>
      <c r="H191" s="4">
        <f>IFERROR(INDEX('Usage Detail'!$H:$H,AGGREGATE(15,6,ROW('Usage Detail'!$A$5:$A$204)/(('Usage Detail'!$B$5:$B$204="Gift")),ROW(A184))),"")</f>
        <v/>
      </c>
    </row>
    <row r="192">
      <c r="A192" s="3">
        <f>IFERROR(INDEX('Usage Detail'!$A:$A,AGGREGATE(15,6,ROW('Usage Detail'!$A$5:$A$204)/(('Usage Detail'!$B$5:$B$204="Gift")),ROW(A185))),"")</f>
        <v/>
      </c>
      <c r="B192" s="3">
        <f>IFERROR(INDEX('Usage Detail'!$B:$B,AGGREGATE(15,6,ROW('Usage Detail'!$A$5:$A$204)/(('Usage Detail'!$B$5:$B$204="Gift")),ROW(A185))),"")</f>
        <v/>
      </c>
      <c r="C192" s="3">
        <f>IFERROR(INDEX('Usage Detail'!$C:$C,AGGREGATE(15,6,ROW('Usage Detail'!$A$5:$A$204)/(('Usage Detail'!$B$5:$B$204="Gift")),ROW(A185))),"")</f>
        <v/>
      </c>
      <c r="D192" s="3">
        <f>IFERROR(INDEX('Usage Detail'!$D:$D,AGGREGATE(15,6,ROW('Usage Detail'!$A$5:$A$204)/(('Usage Detail'!$B$5:$B$204="Gift")),ROW(A185))),"")</f>
        <v/>
      </c>
      <c r="E192" s="4">
        <f>IFERROR(INDEX('Usage Detail'!$E:$E,AGGREGATE(15,6,ROW('Usage Detail'!$A$5:$A$204)/(('Usage Detail'!$B$5:$B$204="Gift")),ROW(A185))),"")</f>
        <v/>
      </c>
      <c r="F192" s="4">
        <f>IFERROR(INDEX('Usage Detail'!$F:$F,AGGREGATE(15,6,ROW('Usage Detail'!$A$5:$A$204)/(('Usage Detail'!$B$5:$B$204="Gift")),ROW(A185))),"")</f>
        <v/>
      </c>
      <c r="G192" s="4">
        <f>IFERROR(INDEX('Usage Detail'!$G:$G,AGGREGATE(15,6,ROW('Usage Detail'!$A$5:$A$204)/(('Usage Detail'!$B$5:$B$204="Gift")),ROW(A185))),"")</f>
        <v/>
      </c>
      <c r="H192" s="4">
        <f>IFERROR(INDEX('Usage Detail'!$H:$H,AGGREGATE(15,6,ROW('Usage Detail'!$A$5:$A$204)/(('Usage Detail'!$B$5:$B$204="Gift")),ROW(A185))),"")</f>
        <v/>
      </c>
    </row>
    <row r="193">
      <c r="A193" s="3">
        <f>IFERROR(INDEX('Usage Detail'!$A:$A,AGGREGATE(15,6,ROW('Usage Detail'!$A$5:$A$204)/(('Usage Detail'!$B$5:$B$204="Gift")),ROW(A186))),"")</f>
        <v/>
      </c>
      <c r="B193" s="3">
        <f>IFERROR(INDEX('Usage Detail'!$B:$B,AGGREGATE(15,6,ROW('Usage Detail'!$A$5:$A$204)/(('Usage Detail'!$B$5:$B$204="Gift")),ROW(A186))),"")</f>
        <v/>
      </c>
      <c r="C193" s="3">
        <f>IFERROR(INDEX('Usage Detail'!$C:$C,AGGREGATE(15,6,ROW('Usage Detail'!$A$5:$A$204)/(('Usage Detail'!$B$5:$B$204="Gift")),ROW(A186))),"")</f>
        <v/>
      </c>
      <c r="D193" s="3">
        <f>IFERROR(INDEX('Usage Detail'!$D:$D,AGGREGATE(15,6,ROW('Usage Detail'!$A$5:$A$204)/(('Usage Detail'!$B$5:$B$204="Gift")),ROW(A186))),"")</f>
        <v/>
      </c>
      <c r="E193" s="4">
        <f>IFERROR(INDEX('Usage Detail'!$E:$E,AGGREGATE(15,6,ROW('Usage Detail'!$A$5:$A$204)/(('Usage Detail'!$B$5:$B$204="Gift")),ROW(A186))),"")</f>
        <v/>
      </c>
      <c r="F193" s="4">
        <f>IFERROR(INDEX('Usage Detail'!$F:$F,AGGREGATE(15,6,ROW('Usage Detail'!$A$5:$A$204)/(('Usage Detail'!$B$5:$B$204="Gift")),ROW(A186))),"")</f>
        <v/>
      </c>
      <c r="G193" s="4">
        <f>IFERROR(INDEX('Usage Detail'!$G:$G,AGGREGATE(15,6,ROW('Usage Detail'!$A$5:$A$204)/(('Usage Detail'!$B$5:$B$204="Gift")),ROW(A186))),"")</f>
        <v/>
      </c>
      <c r="H193" s="4">
        <f>IFERROR(INDEX('Usage Detail'!$H:$H,AGGREGATE(15,6,ROW('Usage Detail'!$A$5:$A$204)/(('Usage Detail'!$B$5:$B$204="Gift")),ROW(A186))),"")</f>
        <v/>
      </c>
    </row>
    <row r="194">
      <c r="A194" s="3">
        <f>IFERROR(INDEX('Usage Detail'!$A:$A,AGGREGATE(15,6,ROW('Usage Detail'!$A$5:$A$204)/(('Usage Detail'!$B$5:$B$204="Gift")),ROW(A187))),"")</f>
        <v/>
      </c>
      <c r="B194" s="3">
        <f>IFERROR(INDEX('Usage Detail'!$B:$B,AGGREGATE(15,6,ROW('Usage Detail'!$A$5:$A$204)/(('Usage Detail'!$B$5:$B$204="Gift")),ROW(A187))),"")</f>
        <v/>
      </c>
      <c r="C194" s="3">
        <f>IFERROR(INDEX('Usage Detail'!$C:$C,AGGREGATE(15,6,ROW('Usage Detail'!$A$5:$A$204)/(('Usage Detail'!$B$5:$B$204="Gift")),ROW(A187))),"")</f>
        <v/>
      </c>
      <c r="D194" s="3">
        <f>IFERROR(INDEX('Usage Detail'!$D:$D,AGGREGATE(15,6,ROW('Usage Detail'!$A$5:$A$204)/(('Usage Detail'!$B$5:$B$204="Gift")),ROW(A187))),"")</f>
        <v/>
      </c>
      <c r="E194" s="4">
        <f>IFERROR(INDEX('Usage Detail'!$E:$E,AGGREGATE(15,6,ROW('Usage Detail'!$A$5:$A$204)/(('Usage Detail'!$B$5:$B$204="Gift")),ROW(A187))),"")</f>
        <v/>
      </c>
      <c r="F194" s="4">
        <f>IFERROR(INDEX('Usage Detail'!$F:$F,AGGREGATE(15,6,ROW('Usage Detail'!$A$5:$A$204)/(('Usage Detail'!$B$5:$B$204="Gift")),ROW(A187))),"")</f>
        <v/>
      </c>
      <c r="G194" s="4">
        <f>IFERROR(INDEX('Usage Detail'!$G:$G,AGGREGATE(15,6,ROW('Usage Detail'!$A$5:$A$204)/(('Usage Detail'!$B$5:$B$204="Gift")),ROW(A187))),"")</f>
        <v/>
      </c>
      <c r="H194" s="4">
        <f>IFERROR(INDEX('Usage Detail'!$H:$H,AGGREGATE(15,6,ROW('Usage Detail'!$A$5:$A$204)/(('Usage Detail'!$B$5:$B$204="Gift")),ROW(A187))),"")</f>
        <v/>
      </c>
    </row>
    <row r="195">
      <c r="A195" s="3">
        <f>IFERROR(INDEX('Usage Detail'!$A:$A,AGGREGATE(15,6,ROW('Usage Detail'!$A$5:$A$204)/(('Usage Detail'!$B$5:$B$204="Gift")),ROW(A188))),"")</f>
        <v/>
      </c>
      <c r="B195" s="3">
        <f>IFERROR(INDEX('Usage Detail'!$B:$B,AGGREGATE(15,6,ROW('Usage Detail'!$A$5:$A$204)/(('Usage Detail'!$B$5:$B$204="Gift")),ROW(A188))),"")</f>
        <v/>
      </c>
      <c r="C195" s="3">
        <f>IFERROR(INDEX('Usage Detail'!$C:$C,AGGREGATE(15,6,ROW('Usage Detail'!$A$5:$A$204)/(('Usage Detail'!$B$5:$B$204="Gift")),ROW(A188))),"")</f>
        <v/>
      </c>
      <c r="D195" s="3">
        <f>IFERROR(INDEX('Usage Detail'!$D:$D,AGGREGATE(15,6,ROW('Usage Detail'!$A$5:$A$204)/(('Usage Detail'!$B$5:$B$204="Gift")),ROW(A188))),"")</f>
        <v/>
      </c>
      <c r="E195" s="4">
        <f>IFERROR(INDEX('Usage Detail'!$E:$E,AGGREGATE(15,6,ROW('Usage Detail'!$A$5:$A$204)/(('Usage Detail'!$B$5:$B$204="Gift")),ROW(A188))),"")</f>
        <v/>
      </c>
      <c r="F195" s="4">
        <f>IFERROR(INDEX('Usage Detail'!$F:$F,AGGREGATE(15,6,ROW('Usage Detail'!$A$5:$A$204)/(('Usage Detail'!$B$5:$B$204="Gift")),ROW(A188))),"")</f>
        <v/>
      </c>
      <c r="G195" s="4">
        <f>IFERROR(INDEX('Usage Detail'!$G:$G,AGGREGATE(15,6,ROW('Usage Detail'!$A$5:$A$204)/(('Usage Detail'!$B$5:$B$204="Gift")),ROW(A188))),"")</f>
        <v/>
      </c>
      <c r="H195" s="4">
        <f>IFERROR(INDEX('Usage Detail'!$H:$H,AGGREGATE(15,6,ROW('Usage Detail'!$A$5:$A$204)/(('Usage Detail'!$B$5:$B$204="Gift")),ROW(A188))),"")</f>
        <v/>
      </c>
    </row>
    <row r="196">
      <c r="A196" s="3">
        <f>IFERROR(INDEX('Usage Detail'!$A:$A,AGGREGATE(15,6,ROW('Usage Detail'!$A$5:$A$204)/(('Usage Detail'!$B$5:$B$204="Gift")),ROW(A189))),"")</f>
        <v/>
      </c>
      <c r="B196" s="3">
        <f>IFERROR(INDEX('Usage Detail'!$B:$B,AGGREGATE(15,6,ROW('Usage Detail'!$A$5:$A$204)/(('Usage Detail'!$B$5:$B$204="Gift")),ROW(A189))),"")</f>
        <v/>
      </c>
      <c r="C196" s="3">
        <f>IFERROR(INDEX('Usage Detail'!$C:$C,AGGREGATE(15,6,ROW('Usage Detail'!$A$5:$A$204)/(('Usage Detail'!$B$5:$B$204="Gift")),ROW(A189))),"")</f>
        <v/>
      </c>
      <c r="D196" s="3">
        <f>IFERROR(INDEX('Usage Detail'!$D:$D,AGGREGATE(15,6,ROW('Usage Detail'!$A$5:$A$204)/(('Usage Detail'!$B$5:$B$204="Gift")),ROW(A189))),"")</f>
        <v/>
      </c>
      <c r="E196" s="4">
        <f>IFERROR(INDEX('Usage Detail'!$E:$E,AGGREGATE(15,6,ROW('Usage Detail'!$A$5:$A$204)/(('Usage Detail'!$B$5:$B$204="Gift")),ROW(A189))),"")</f>
        <v/>
      </c>
      <c r="F196" s="4">
        <f>IFERROR(INDEX('Usage Detail'!$F:$F,AGGREGATE(15,6,ROW('Usage Detail'!$A$5:$A$204)/(('Usage Detail'!$B$5:$B$204="Gift")),ROW(A189))),"")</f>
        <v/>
      </c>
      <c r="G196" s="4">
        <f>IFERROR(INDEX('Usage Detail'!$G:$G,AGGREGATE(15,6,ROW('Usage Detail'!$A$5:$A$204)/(('Usage Detail'!$B$5:$B$204="Gift")),ROW(A189))),"")</f>
        <v/>
      </c>
      <c r="H196" s="4">
        <f>IFERROR(INDEX('Usage Detail'!$H:$H,AGGREGATE(15,6,ROW('Usage Detail'!$A$5:$A$204)/(('Usage Detail'!$B$5:$B$204="Gift")),ROW(A189))),"")</f>
        <v/>
      </c>
    </row>
    <row r="197">
      <c r="A197" s="3">
        <f>IFERROR(INDEX('Usage Detail'!$A:$A,AGGREGATE(15,6,ROW('Usage Detail'!$A$5:$A$204)/(('Usage Detail'!$B$5:$B$204="Gift")),ROW(A190))),"")</f>
        <v/>
      </c>
      <c r="B197" s="3">
        <f>IFERROR(INDEX('Usage Detail'!$B:$B,AGGREGATE(15,6,ROW('Usage Detail'!$A$5:$A$204)/(('Usage Detail'!$B$5:$B$204="Gift")),ROW(A190))),"")</f>
        <v/>
      </c>
      <c r="C197" s="3">
        <f>IFERROR(INDEX('Usage Detail'!$C:$C,AGGREGATE(15,6,ROW('Usage Detail'!$A$5:$A$204)/(('Usage Detail'!$B$5:$B$204="Gift")),ROW(A190))),"")</f>
        <v/>
      </c>
      <c r="D197" s="3">
        <f>IFERROR(INDEX('Usage Detail'!$D:$D,AGGREGATE(15,6,ROW('Usage Detail'!$A$5:$A$204)/(('Usage Detail'!$B$5:$B$204="Gift")),ROW(A190))),"")</f>
        <v/>
      </c>
      <c r="E197" s="4">
        <f>IFERROR(INDEX('Usage Detail'!$E:$E,AGGREGATE(15,6,ROW('Usage Detail'!$A$5:$A$204)/(('Usage Detail'!$B$5:$B$204="Gift")),ROW(A190))),"")</f>
        <v/>
      </c>
      <c r="F197" s="4">
        <f>IFERROR(INDEX('Usage Detail'!$F:$F,AGGREGATE(15,6,ROW('Usage Detail'!$A$5:$A$204)/(('Usage Detail'!$B$5:$B$204="Gift")),ROW(A190))),"")</f>
        <v/>
      </c>
      <c r="G197" s="4">
        <f>IFERROR(INDEX('Usage Detail'!$G:$G,AGGREGATE(15,6,ROW('Usage Detail'!$A$5:$A$204)/(('Usage Detail'!$B$5:$B$204="Gift")),ROW(A190))),"")</f>
        <v/>
      </c>
      <c r="H197" s="4">
        <f>IFERROR(INDEX('Usage Detail'!$H:$H,AGGREGATE(15,6,ROW('Usage Detail'!$A$5:$A$204)/(('Usage Detail'!$B$5:$B$204="Gift")),ROW(A190))),"")</f>
        <v/>
      </c>
    </row>
    <row r="198">
      <c r="A198" s="3">
        <f>IFERROR(INDEX('Usage Detail'!$A:$A,AGGREGATE(15,6,ROW('Usage Detail'!$A$5:$A$204)/(('Usage Detail'!$B$5:$B$204="Gift")),ROW(A191))),"")</f>
        <v/>
      </c>
      <c r="B198" s="3">
        <f>IFERROR(INDEX('Usage Detail'!$B:$B,AGGREGATE(15,6,ROW('Usage Detail'!$A$5:$A$204)/(('Usage Detail'!$B$5:$B$204="Gift")),ROW(A191))),"")</f>
        <v/>
      </c>
      <c r="C198" s="3">
        <f>IFERROR(INDEX('Usage Detail'!$C:$C,AGGREGATE(15,6,ROW('Usage Detail'!$A$5:$A$204)/(('Usage Detail'!$B$5:$B$204="Gift")),ROW(A191))),"")</f>
        <v/>
      </c>
      <c r="D198" s="3">
        <f>IFERROR(INDEX('Usage Detail'!$D:$D,AGGREGATE(15,6,ROW('Usage Detail'!$A$5:$A$204)/(('Usage Detail'!$B$5:$B$204="Gift")),ROW(A191))),"")</f>
        <v/>
      </c>
      <c r="E198" s="4">
        <f>IFERROR(INDEX('Usage Detail'!$E:$E,AGGREGATE(15,6,ROW('Usage Detail'!$A$5:$A$204)/(('Usage Detail'!$B$5:$B$204="Gift")),ROW(A191))),"")</f>
        <v/>
      </c>
      <c r="F198" s="4">
        <f>IFERROR(INDEX('Usage Detail'!$F:$F,AGGREGATE(15,6,ROW('Usage Detail'!$A$5:$A$204)/(('Usage Detail'!$B$5:$B$204="Gift")),ROW(A191))),"")</f>
        <v/>
      </c>
      <c r="G198" s="4">
        <f>IFERROR(INDEX('Usage Detail'!$G:$G,AGGREGATE(15,6,ROW('Usage Detail'!$A$5:$A$204)/(('Usage Detail'!$B$5:$B$204="Gift")),ROW(A191))),"")</f>
        <v/>
      </c>
      <c r="H198" s="4">
        <f>IFERROR(INDEX('Usage Detail'!$H:$H,AGGREGATE(15,6,ROW('Usage Detail'!$A$5:$A$204)/(('Usage Detail'!$B$5:$B$204="Gift")),ROW(A191))),"")</f>
        <v/>
      </c>
    </row>
    <row r="199">
      <c r="A199" s="3">
        <f>IFERROR(INDEX('Usage Detail'!$A:$A,AGGREGATE(15,6,ROW('Usage Detail'!$A$5:$A$204)/(('Usage Detail'!$B$5:$B$204="Gift")),ROW(A192))),"")</f>
        <v/>
      </c>
      <c r="B199" s="3">
        <f>IFERROR(INDEX('Usage Detail'!$B:$B,AGGREGATE(15,6,ROW('Usage Detail'!$A$5:$A$204)/(('Usage Detail'!$B$5:$B$204="Gift")),ROW(A192))),"")</f>
        <v/>
      </c>
      <c r="C199" s="3">
        <f>IFERROR(INDEX('Usage Detail'!$C:$C,AGGREGATE(15,6,ROW('Usage Detail'!$A$5:$A$204)/(('Usage Detail'!$B$5:$B$204="Gift")),ROW(A192))),"")</f>
        <v/>
      </c>
      <c r="D199" s="3">
        <f>IFERROR(INDEX('Usage Detail'!$D:$D,AGGREGATE(15,6,ROW('Usage Detail'!$A$5:$A$204)/(('Usage Detail'!$B$5:$B$204="Gift")),ROW(A192))),"")</f>
        <v/>
      </c>
      <c r="E199" s="4">
        <f>IFERROR(INDEX('Usage Detail'!$E:$E,AGGREGATE(15,6,ROW('Usage Detail'!$A$5:$A$204)/(('Usage Detail'!$B$5:$B$204="Gift")),ROW(A192))),"")</f>
        <v/>
      </c>
      <c r="F199" s="4">
        <f>IFERROR(INDEX('Usage Detail'!$F:$F,AGGREGATE(15,6,ROW('Usage Detail'!$A$5:$A$204)/(('Usage Detail'!$B$5:$B$204="Gift")),ROW(A192))),"")</f>
        <v/>
      </c>
      <c r="G199" s="4">
        <f>IFERROR(INDEX('Usage Detail'!$G:$G,AGGREGATE(15,6,ROW('Usage Detail'!$A$5:$A$204)/(('Usage Detail'!$B$5:$B$204="Gift")),ROW(A192))),"")</f>
        <v/>
      </c>
      <c r="H199" s="4">
        <f>IFERROR(INDEX('Usage Detail'!$H:$H,AGGREGATE(15,6,ROW('Usage Detail'!$A$5:$A$204)/(('Usage Detail'!$B$5:$B$204="Gift")),ROW(A192))),"")</f>
        <v/>
      </c>
    </row>
    <row r="200">
      <c r="A200" s="3">
        <f>IFERROR(INDEX('Usage Detail'!$A:$A,AGGREGATE(15,6,ROW('Usage Detail'!$A$5:$A$204)/(('Usage Detail'!$B$5:$B$204="Gift")),ROW(A193))),"")</f>
        <v/>
      </c>
      <c r="B200" s="3">
        <f>IFERROR(INDEX('Usage Detail'!$B:$B,AGGREGATE(15,6,ROW('Usage Detail'!$A$5:$A$204)/(('Usage Detail'!$B$5:$B$204="Gift")),ROW(A193))),"")</f>
        <v/>
      </c>
      <c r="C200" s="3">
        <f>IFERROR(INDEX('Usage Detail'!$C:$C,AGGREGATE(15,6,ROW('Usage Detail'!$A$5:$A$204)/(('Usage Detail'!$B$5:$B$204="Gift")),ROW(A193))),"")</f>
        <v/>
      </c>
      <c r="D200" s="3">
        <f>IFERROR(INDEX('Usage Detail'!$D:$D,AGGREGATE(15,6,ROW('Usage Detail'!$A$5:$A$204)/(('Usage Detail'!$B$5:$B$204="Gift")),ROW(A193))),"")</f>
        <v/>
      </c>
      <c r="E200" s="4">
        <f>IFERROR(INDEX('Usage Detail'!$E:$E,AGGREGATE(15,6,ROW('Usage Detail'!$A$5:$A$204)/(('Usage Detail'!$B$5:$B$204="Gift")),ROW(A193))),"")</f>
        <v/>
      </c>
      <c r="F200" s="4">
        <f>IFERROR(INDEX('Usage Detail'!$F:$F,AGGREGATE(15,6,ROW('Usage Detail'!$A$5:$A$204)/(('Usage Detail'!$B$5:$B$204="Gift")),ROW(A193))),"")</f>
        <v/>
      </c>
      <c r="G200" s="4">
        <f>IFERROR(INDEX('Usage Detail'!$G:$G,AGGREGATE(15,6,ROW('Usage Detail'!$A$5:$A$204)/(('Usage Detail'!$B$5:$B$204="Gift")),ROW(A193))),"")</f>
        <v/>
      </c>
      <c r="H200" s="4">
        <f>IFERROR(INDEX('Usage Detail'!$H:$H,AGGREGATE(15,6,ROW('Usage Detail'!$A$5:$A$204)/(('Usage Detail'!$B$5:$B$204="Gift")),ROW(A193))),"")</f>
        <v/>
      </c>
    </row>
    <row r="201">
      <c r="A201" s="3">
        <f>IFERROR(INDEX('Usage Detail'!$A:$A,AGGREGATE(15,6,ROW('Usage Detail'!$A$5:$A$204)/(('Usage Detail'!$B$5:$B$204="Gift")),ROW(A194))),"")</f>
        <v/>
      </c>
      <c r="B201" s="3">
        <f>IFERROR(INDEX('Usage Detail'!$B:$B,AGGREGATE(15,6,ROW('Usage Detail'!$A$5:$A$204)/(('Usage Detail'!$B$5:$B$204="Gift")),ROW(A194))),"")</f>
        <v/>
      </c>
      <c r="C201" s="3">
        <f>IFERROR(INDEX('Usage Detail'!$C:$C,AGGREGATE(15,6,ROW('Usage Detail'!$A$5:$A$204)/(('Usage Detail'!$B$5:$B$204="Gift")),ROW(A194))),"")</f>
        <v/>
      </c>
      <c r="D201" s="3">
        <f>IFERROR(INDEX('Usage Detail'!$D:$D,AGGREGATE(15,6,ROW('Usage Detail'!$A$5:$A$204)/(('Usage Detail'!$B$5:$B$204="Gift")),ROW(A194))),"")</f>
        <v/>
      </c>
      <c r="E201" s="4">
        <f>IFERROR(INDEX('Usage Detail'!$E:$E,AGGREGATE(15,6,ROW('Usage Detail'!$A$5:$A$204)/(('Usage Detail'!$B$5:$B$204="Gift")),ROW(A194))),"")</f>
        <v/>
      </c>
      <c r="F201" s="4">
        <f>IFERROR(INDEX('Usage Detail'!$F:$F,AGGREGATE(15,6,ROW('Usage Detail'!$A$5:$A$204)/(('Usage Detail'!$B$5:$B$204="Gift")),ROW(A194))),"")</f>
        <v/>
      </c>
      <c r="G201" s="4">
        <f>IFERROR(INDEX('Usage Detail'!$G:$G,AGGREGATE(15,6,ROW('Usage Detail'!$A$5:$A$204)/(('Usage Detail'!$B$5:$B$204="Gift")),ROW(A194))),"")</f>
        <v/>
      </c>
      <c r="H201" s="4">
        <f>IFERROR(INDEX('Usage Detail'!$H:$H,AGGREGATE(15,6,ROW('Usage Detail'!$A$5:$A$204)/(('Usage Detail'!$B$5:$B$204="Gift")),ROW(A194))),"")</f>
        <v/>
      </c>
    </row>
    <row r="202">
      <c r="A202" s="3">
        <f>IFERROR(INDEX('Usage Detail'!$A:$A,AGGREGATE(15,6,ROW('Usage Detail'!$A$5:$A$204)/(('Usage Detail'!$B$5:$B$204="Gift")),ROW(A195))),"")</f>
        <v/>
      </c>
      <c r="B202" s="3">
        <f>IFERROR(INDEX('Usage Detail'!$B:$B,AGGREGATE(15,6,ROW('Usage Detail'!$A$5:$A$204)/(('Usage Detail'!$B$5:$B$204="Gift")),ROW(A195))),"")</f>
        <v/>
      </c>
      <c r="C202" s="3">
        <f>IFERROR(INDEX('Usage Detail'!$C:$C,AGGREGATE(15,6,ROW('Usage Detail'!$A$5:$A$204)/(('Usage Detail'!$B$5:$B$204="Gift")),ROW(A195))),"")</f>
        <v/>
      </c>
      <c r="D202" s="3">
        <f>IFERROR(INDEX('Usage Detail'!$D:$D,AGGREGATE(15,6,ROW('Usage Detail'!$A$5:$A$204)/(('Usage Detail'!$B$5:$B$204="Gift")),ROW(A195))),"")</f>
        <v/>
      </c>
      <c r="E202" s="4">
        <f>IFERROR(INDEX('Usage Detail'!$E:$E,AGGREGATE(15,6,ROW('Usage Detail'!$A$5:$A$204)/(('Usage Detail'!$B$5:$B$204="Gift")),ROW(A195))),"")</f>
        <v/>
      </c>
      <c r="F202" s="4">
        <f>IFERROR(INDEX('Usage Detail'!$F:$F,AGGREGATE(15,6,ROW('Usage Detail'!$A$5:$A$204)/(('Usage Detail'!$B$5:$B$204="Gift")),ROW(A195))),"")</f>
        <v/>
      </c>
      <c r="G202" s="4">
        <f>IFERROR(INDEX('Usage Detail'!$G:$G,AGGREGATE(15,6,ROW('Usage Detail'!$A$5:$A$204)/(('Usage Detail'!$B$5:$B$204="Gift")),ROW(A195))),"")</f>
        <v/>
      </c>
      <c r="H202" s="4">
        <f>IFERROR(INDEX('Usage Detail'!$H:$H,AGGREGATE(15,6,ROW('Usage Detail'!$A$5:$A$204)/(('Usage Detail'!$B$5:$B$204="Gift")),ROW(A195))),"")</f>
        <v/>
      </c>
    </row>
    <row r="203">
      <c r="A203" s="3">
        <f>IFERROR(INDEX('Usage Detail'!$A:$A,AGGREGATE(15,6,ROW('Usage Detail'!$A$5:$A$204)/(('Usage Detail'!$B$5:$B$204="Gift")),ROW(A196))),"")</f>
        <v/>
      </c>
      <c r="B203" s="3">
        <f>IFERROR(INDEX('Usage Detail'!$B:$B,AGGREGATE(15,6,ROW('Usage Detail'!$A$5:$A$204)/(('Usage Detail'!$B$5:$B$204="Gift")),ROW(A196))),"")</f>
        <v/>
      </c>
      <c r="C203" s="3">
        <f>IFERROR(INDEX('Usage Detail'!$C:$C,AGGREGATE(15,6,ROW('Usage Detail'!$A$5:$A$204)/(('Usage Detail'!$B$5:$B$204="Gift")),ROW(A196))),"")</f>
        <v/>
      </c>
      <c r="D203" s="3">
        <f>IFERROR(INDEX('Usage Detail'!$D:$D,AGGREGATE(15,6,ROW('Usage Detail'!$A$5:$A$204)/(('Usage Detail'!$B$5:$B$204="Gift")),ROW(A196))),"")</f>
        <v/>
      </c>
      <c r="E203" s="4">
        <f>IFERROR(INDEX('Usage Detail'!$E:$E,AGGREGATE(15,6,ROW('Usage Detail'!$A$5:$A$204)/(('Usage Detail'!$B$5:$B$204="Gift")),ROW(A196))),"")</f>
        <v/>
      </c>
      <c r="F203" s="4">
        <f>IFERROR(INDEX('Usage Detail'!$F:$F,AGGREGATE(15,6,ROW('Usage Detail'!$A$5:$A$204)/(('Usage Detail'!$B$5:$B$204="Gift")),ROW(A196))),"")</f>
        <v/>
      </c>
      <c r="G203" s="4">
        <f>IFERROR(INDEX('Usage Detail'!$G:$G,AGGREGATE(15,6,ROW('Usage Detail'!$A$5:$A$204)/(('Usage Detail'!$B$5:$B$204="Gift")),ROW(A196))),"")</f>
        <v/>
      </c>
      <c r="H203" s="4">
        <f>IFERROR(INDEX('Usage Detail'!$H:$H,AGGREGATE(15,6,ROW('Usage Detail'!$A$5:$A$204)/(('Usage Detail'!$B$5:$B$204="Gift")),ROW(A196))),"")</f>
        <v/>
      </c>
    </row>
    <row r="204">
      <c r="A204" s="3">
        <f>IFERROR(INDEX('Usage Detail'!$A:$A,AGGREGATE(15,6,ROW('Usage Detail'!$A$5:$A$204)/(('Usage Detail'!$B$5:$B$204="Gift")),ROW(A197))),"")</f>
        <v/>
      </c>
      <c r="B204" s="3">
        <f>IFERROR(INDEX('Usage Detail'!$B:$B,AGGREGATE(15,6,ROW('Usage Detail'!$A$5:$A$204)/(('Usage Detail'!$B$5:$B$204="Gift")),ROW(A197))),"")</f>
        <v/>
      </c>
      <c r="C204" s="3">
        <f>IFERROR(INDEX('Usage Detail'!$C:$C,AGGREGATE(15,6,ROW('Usage Detail'!$A$5:$A$204)/(('Usage Detail'!$B$5:$B$204="Gift")),ROW(A197))),"")</f>
        <v/>
      </c>
      <c r="D204" s="3">
        <f>IFERROR(INDEX('Usage Detail'!$D:$D,AGGREGATE(15,6,ROW('Usage Detail'!$A$5:$A$204)/(('Usage Detail'!$B$5:$B$204="Gift")),ROW(A197))),"")</f>
        <v/>
      </c>
      <c r="E204" s="4">
        <f>IFERROR(INDEX('Usage Detail'!$E:$E,AGGREGATE(15,6,ROW('Usage Detail'!$A$5:$A$204)/(('Usage Detail'!$B$5:$B$204="Gift")),ROW(A197))),"")</f>
        <v/>
      </c>
      <c r="F204" s="4">
        <f>IFERROR(INDEX('Usage Detail'!$F:$F,AGGREGATE(15,6,ROW('Usage Detail'!$A$5:$A$204)/(('Usage Detail'!$B$5:$B$204="Gift")),ROW(A197))),"")</f>
        <v/>
      </c>
      <c r="G204" s="4">
        <f>IFERROR(INDEX('Usage Detail'!$G:$G,AGGREGATE(15,6,ROW('Usage Detail'!$A$5:$A$204)/(('Usage Detail'!$B$5:$B$204="Gift")),ROW(A197))),"")</f>
        <v/>
      </c>
      <c r="H204" s="4">
        <f>IFERROR(INDEX('Usage Detail'!$H:$H,AGGREGATE(15,6,ROW('Usage Detail'!$A$5:$A$204)/(('Usage Detail'!$B$5:$B$204="Gift")),ROW(A197))),"")</f>
        <v/>
      </c>
    </row>
    <row r="205">
      <c r="A205" s="3">
        <f>IFERROR(INDEX('Usage Detail'!$A:$A,AGGREGATE(15,6,ROW('Usage Detail'!$A$5:$A$204)/(('Usage Detail'!$B$5:$B$204="Gift")),ROW(A198))),"")</f>
        <v/>
      </c>
      <c r="B205" s="3">
        <f>IFERROR(INDEX('Usage Detail'!$B:$B,AGGREGATE(15,6,ROW('Usage Detail'!$A$5:$A$204)/(('Usage Detail'!$B$5:$B$204="Gift")),ROW(A198))),"")</f>
        <v/>
      </c>
      <c r="C205" s="3">
        <f>IFERROR(INDEX('Usage Detail'!$C:$C,AGGREGATE(15,6,ROW('Usage Detail'!$A$5:$A$204)/(('Usage Detail'!$B$5:$B$204="Gift")),ROW(A198))),"")</f>
        <v/>
      </c>
      <c r="D205" s="3">
        <f>IFERROR(INDEX('Usage Detail'!$D:$D,AGGREGATE(15,6,ROW('Usage Detail'!$A$5:$A$204)/(('Usage Detail'!$B$5:$B$204="Gift")),ROW(A198))),"")</f>
        <v/>
      </c>
      <c r="E205" s="4">
        <f>IFERROR(INDEX('Usage Detail'!$E:$E,AGGREGATE(15,6,ROW('Usage Detail'!$A$5:$A$204)/(('Usage Detail'!$B$5:$B$204="Gift")),ROW(A198))),"")</f>
        <v/>
      </c>
      <c r="F205" s="4">
        <f>IFERROR(INDEX('Usage Detail'!$F:$F,AGGREGATE(15,6,ROW('Usage Detail'!$A$5:$A$204)/(('Usage Detail'!$B$5:$B$204="Gift")),ROW(A198))),"")</f>
        <v/>
      </c>
      <c r="G205" s="4">
        <f>IFERROR(INDEX('Usage Detail'!$G:$G,AGGREGATE(15,6,ROW('Usage Detail'!$A$5:$A$204)/(('Usage Detail'!$B$5:$B$204="Gift")),ROW(A198))),"")</f>
        <v/>
      </c>
      <c r="H205" s="4">
        <f>IFERROR(INDEX('Usage Detail'!$H:$H,AGGREGATE(15,6,ROW('Usage Detail'!$A$5:$A$204)/(('Usage Detail'!$B$5:$B$204="Gift")),ROW(A198))),"")</f>
        <v/>
      </c>
    </row>
    <row r="206">
      <c r="A206" s="3">
        <f>IFERROR(INDEX('Usage Detail'!$A:$A,AGGREGATE(15,6,ROW('Usage Detail'!$A$5:$A$204)/(('Usage Detail'!$B$5:$B$204="Gift")),ROW(A199))),"")</f>
        <v/>
      </c>
      <c r="B206" s="3">
        <f>IFERROR(INDEX('Usage Detail'!$B:$B,AGGREGATE(15,6,ROW('Usage Detail'!$A$5:$A$204)/(('Usage Detail'!$B$5:$B$204="Gift")),ROW(A199))),"")</f>
        <v/>
      </c>
      <c r="C206" s="3">
        <f>IFERROR(INDEX('Usage Detail'!$C:$C,AGGREGATE(15,6,ROW('Usage Detail'!$A$5:$A$204)/(('Usage Detail'!$B$5:$B$204="Gift")),ROW(A199))),"")</f>
        <v/>
      </c>
      <c r="D206" s="3">
        <f>IFERROR(INDEX('Usage Detail'!$D:$D,AGGREGATE(15,6,ROW('Usage Detail'!$A$5:$A$204)/(('Usage Detail'!$B$5:$B$204="Gift")),ROW(A199))),"")</f>
        <v/>
      </c>
      <c r="E206" s="4">
        <f>IFERROR(INDEX('Usage Detail'!$E:$E,AGGREGATE(15,6,ROW('Usage Detail'!$A$5:$A$204)/(('Usage Detail'!$B$5:$B$204="Gift")),ROW(A199))),"")</f>
        <v/>
      </c>
      <c r="F206" s="4">
        <f>IFERROR(INDEX('Usage Detail'!$F:$F,AGGREGATE(15,6,ROW('Usage Detail'!$A$5:$A$204)/(('Usage Detail'!$B$5:$B$204="Gift")),ROW(A199))),"")</f>
        <v/>
      </c>
      <c r="G206" s="4">
        <f>IFERROR(INDEX('Usage Detail'!$G:$G,AGGREGATE(15,6,ROW('Usage Detail'!$A$5:$A$204)/(('Usage Detail'!$B$5:$B$204="Gift")),ROW(A199))),"")</f>
        <v/>
      </c>
      <c r="H206" s="4">
        <f>IFERROR(INDEX('Usage Detail'!$H:$H,AGGREGATE(15,6,ROW('Usage Detail'!$A$5:$A$204)/(('Usage Detail'!$B$5:$B$204="Gift")),ROW(A199))),"")</f>
        <v/>
      </c>
    </row>
    <row r="207">
      <c r="A207" s="3">
        <f>IFERROR(INDEX('Usage Detail'!$A:$A,AGGREGATE(15,6,ROW('Usage Detail'!$A$5:$A$204)/(('Usage Detail'!$B$5:$B$204="Gift")),ROW(A200))),"")</f>
        <v/>
      </c>
      <c r="B207" s="3">
        <f>IFERROR(INDEX('Usage Detail'!$B:$B,AGGREGATE(15,6,ROW('Usage Detail'!$A$5:$A$204)/(('Usage Detail'!$B$5:$B$204="Gift")),ROW(A200))),"")</f>
        <v/>
      </c>
      <c r="C207" s="3">
        <f>IFERROR(INDEX('Usage Detail'!$C:$C,AGGREGATE(15,6,ROW('Usage Detail'!$A$5:$A$204)/(('Usage Detail'!$B$5:$B$204="Gift")),ROW(A200))),"")</f>
        <v/>
      </c>
      <c r="D207" s="3">
        <f>IFERROR(INDEX('Usage Detail'!$D:$D,AGGREGATE(15,6,ROW('Usage Detail'!$A$5:$A$204)/(('Usage Detail'!$B$5:$B$204="Gift")),ROW(A200))),"")</f>
        <v/>
      </c>
      <c r="E207" s="4">
        <f>IFERROR(INDEX('Usage Detail'!$E:$E,AGGREGATE(15,6,ROW('Usage Detail'!$A$5:$A$204)/(('Usage Detail'!$B$5:$B$204="Gift")),ROW(A200))),"")</f>
        <v/>
      </c>
      <c r="F207" s="4">
        <f>IFERROR(INDEX('Usage Detail'!$F:$F,AGGREGATE(15,6,ROW('Usage Detail'!$A$5:$A$204)/(('Usage Detail'!$B$5:$B$204="Gift")),ROW(A200))),"")</f>
        <v/>
      </c>
      <c r="G207" s="4">
        <f>IFERROR(INDEX('Usage Detail'!$G:$G,AGGREGATE(15,6,ROW('Usage Detail'!$A$5:$A$204)/(('Usage Detail'!$B$5:$B$204="Gift")),ROW(A200))),"")</f>
        <v/>
      </c>
      <c r="H207" s="4">
        <f>IFERROR(INDEX('Usage Detail'!$H:$H,AGGREGATE(15,6,ROW('Usage Detail'!$A$5:$A$204)/(('Usage Detail'!$B$5:$B$204="Gift")),ROW(A200))),"")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Category Definitions for AGCO Reporting</t>
        </is>
      </c>
    </row>
    <row r="3">
      <c r="A3" s="8" t="inlineStr">
        <is>
          <t>Category</t>
        </is>
      </c>
      <c r="B3" s="8" t="inlineStr">
        <is>
          <t>When to Use</t>
        </is>
      </c>
    </row>
    <row r="4">
      <c r="A4" s="9" t="inlineStr">
        <is>
          <t>Production</t>
        </is>
      </c>
      <c r="B4" s="9" t="inlineStr">
        <is>
          <t>Bottles added to inventory at bottling (e.g., 'Bottled in 88 Cases')</t>
        </is>
      </c>
    </row>
    <row r="5">
      <c r="A5" s="9" t="inlineStr">
        <is>
          <t>Tasting</t>
        </is>
      </c>
      <c r="B5" s="9" t="inlineStr">
        <is>
          <t>Bottle opened/used for restaurant or industry tasting</t>
        </is>
      </c>
    </row>
    <row r="6">
      <c r="A6" s="9" t="inlineStr">
        <is>
          <t>Promotional</t>
        </is>
      </c>
      <c r="B6" s="9" t="inlineStr">
        <is>
          <t>Used at events, media tastings, sommelier sessions, trade shows</t>
        </is>
      </c>
    </row>
    <row r="7">
      <c r="A7" s="9" t="inlineStr">
        <is>
          <t>Gift</t>
        </is>
      </c>
      <c r="B7" s="9" t="inlineStr">
        <is>
          <t>Bottle given as a gift (personal, corporate, or thank-you)</t>
        </is>
      </c>
    </row>
    <row r="8">
      <c r="A8" s="9" t="inlineStr">
        <is>
          <t>Sale</t>
        </is>
      </c>
      <c r="B8" s="9" t="inlineStr">
        <is>
          <t>Bottle sold to restaurant, LCBO, or DTC customer</t>
        </is>
      </c>
    </row>
    <row r="9">
      <c r="A9" s="9" t="inlineStr">
        <is>
          <t>Sample</t>
        </is>
      </c>
      <c r="B9" s="9" t="inlineStr">
        <is>
          <t>Sent as a sample (not consumed at a tasting — e.g., mailed to a buyer)</t>
        </is>
      </c>
    </row>
    <row r="10">
      <c r="A10" s="9" t="inlineStr">
        <is>
          <t>Adjustment</t>
        </is>
      </c>
      <c r="B10" s="9" t="inlineStr">
        <is>
          <t>Inventory correction (loss, breakage, evaporation, audit reconciliation)</t>
        </is>
      </c>
    </row>
    <row r="12">
      <c r="A12" s="6" t="inlineStr">
        <is>
          <t>Conversion</t>
        </is>
      </c>
      <c r="B12" s="10" t="inlineStr">
        <is>
          <t>1 bottle = 750ml = 0.75L (auto-calculated in all sheets)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2026-04-16T18:27:49Z</dcterms:created>
  <dcterms:modified xmlns:dcterms="http://purl.org/dc/terms/" xmlns:xsi="http://www.w3.org/2001/XMLSchema-instance" xsi:type="dcterms:W3CDTF">2026-04-16T18:45:54Z</dcterms:modified>
</cp:coreProperties>
</file>